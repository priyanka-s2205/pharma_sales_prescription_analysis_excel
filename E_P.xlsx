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RIYANKA\Desktop\"/>
    </mc:Choice>
  </mc:AlternateContent>
  <xr:revisionPtr revIDLastSave="0" documentId="13_ncr:1_{6E6B1CBA-555C-4D3E-ADF7-D4AF3FB1E056}" xr6:coauthVersionLast="47" xr6:coauthVersionMax="47" xr10:uidLastSave="{00000000-0000-0000-0000-000000000000}"/>
  <bookViews>
    <workbookView xWindow="-108" yWindow="-108" windowWidth="23256" windowHeight="12456" activeTab="1" xr2:uid="{B1D92680-2C6B-4227-AF66-07771DC709B0}"/>
  </bookViews>
  <sheets>
    <sheet name="Sheet1" sheetId="1" r:id="rId1"/>
    <sheet name="Sheet3" sheetId="5" r:id="rId2"/>
  </sheets>
  <definedNames>
    <definedName name="Slicer_City">#N/A</definedName>
    <definedName name="Slicer_Payment_Mode">#N/A</definedName>
  </definedNames>
  <calcPr calcId="191029"/>
  <pivotCaches>
    <pivotCache cacheId="59"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 i="1" l="1"/>
  <c r="V5" i="1"/>
  <c r="W8" i="1"/>
  <c r="L70" i="1"/>
  <c r="L71" i="1"/>
  <c r="L72" i="1"/>
  <c r="L73" i="1"/>
  <c r="L74" i="1"/>
  <c r="L75" i="1"/>
  <c r="L76" i="1"/>
  <c r="L77" i="1"/>
  <c r="L78" i="1"/>
  <c r="L79" i="1"/>
  <c r="M79" i="1"/>
  <c r="L80" i="1"/>
  <c r="L81" i="1"/>
  <c r="L82" i="1"/>
  <c r="L83" i="1"/>
  <c r="L84" i="1"/>
  <c r="L85" i="1"/>
  <c r="L86" i="1"/>
  <c r="L87" i="1"/>
  <c r="L88" i="1"/>
  <c r="L89" i="1"/>
  <c r="L90" i="1"/>
  <c r="L91" i="1"/>
  <c r="L92" i="1"/>
  <c r="L93" i="1"/>
  <c r="L94" i="1"/>
  <c r="L95" i="1"/>
  <c r="L96" i="1"/>
  <c r="L97" i="1"/>
  <c r="L98" i="1"/>
  <c r="L99" i="1"/>
  <c r="M99" i="1"/>
  <c r="L100" i="1"/>
  <c r="L101" i="1"/>
  <c r="L102" i="1"/>
  <c r="L103" i="1"/>
  <c r="L104" i="1"/>
  <c r="L105" i="1"/>
  <c r="L106" i="1"/>
  <c r="L107" i="1"/>
  <c r="L108" i="1"/>
  <c r="L109" i="1"/>
  <c r="L110" i="1"/>
  <c r="L111" i="1"/>
  <c r="M111" i="1"/>
  <c r="L112" i="1"/>
  <c r="L113" i="1"/>
  <c r="U13" i="1"/>
  <c r="O4" i="1"/>
  <c r="P4" i="1"/>
  <c r="T18" i="1"/>
  <c r="L4" i="1"/>
  <c r="L5" i="1"/>
  <c r="L6" i="1"/>
  <c r="L7" i="1"/>
  <c r="L8" i="1"/>
  <c r="L9" i="1"/>
  <c r="L10" i="1"/>
  <c r="L11" i="1"/>
  <c r="U9" i="1" s="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J4" i="1"/>
  <c r="M4" i="1" s="1"/>
  <c r="J5" i="1"/>
  <c r="M5" i="1" s="1"/>
  <c r="J6" i="1"/>
  <c r="M6" i="1" s="1"/>
  <c r="J7" i="1"/>
  <c r="M7" i="1" s="1"/>
  <c r="J8" i="1"/>
  <c r="M8" i="1" s="1"/>
  <c r="J9" i="1"/>
  <c r="M9" i="1" s="1"/>
  <c r="J10" i="1"/>
  <c r="J11" i="1"/>
  <c r="M11" i="1" s="1"/>
  <c r="J12" i="1"/>
  <c r="M12" i="1" s="1"/>
  <c r="J13" i="1"/>
  <c r="M13" i="1" s="1"/>
  <c r="J14" i="1"/>
  <c r="M14" i="1" s="1"/>
  <c r="J15" i="1"/>
  <c r="M15" i="1" s="1"/>
  <c r="J16" i="1"/>
  <c r="M16" i="1" s="1"/>
  <c r="J17" i="1"/>
  <c r="M17" i="1" s="1"/>
  <c r="J18" i="1"/>
  <c r="M18" i="1" s="1"/>
  <c r="J19" i="1"/>
  <c r="M19" i="1" s="1"/>
  <c r="J20" i="1"/>
  <c r="M20" i="1" s="1"/>
  <c r="J21" i="1"/>
  <c r="M21" i="1" s="1"/>
  <c r="J22" i="1"/>
  <c r="M22" i="1" s="1"/>
  <c r="J23" i="1"/>
  <c r="M23" i="1" s="1"/>
  <c r="J24" i="1"/>
  <c r="M24" i="1" s="1"/>
  <c r="J25" i="1"/>
  <c r="M25" i="1" s="1"/>
  <c r="J26" i="1"/>
  <c r="M26" i="1" s="1"/>
  <c r="J27" i="1"/>
  <c r="M27" i="1" s="1"/>
  <c r="J28" i="1"/>
  <c r="M28" i="1" s="1"/>
  <c r="J29" i="1"/>
  <c r="M29" i="1" s="1"/>
  <c r="J30" i="1"/>
  <c r="M30" i="1" s="1"/>
  <c r="J31" i="1"/>
  <c r="M31" i="1" s="1"/>
  <c r="J32" i="1"/>
  <c r="M32" i="1" s="1"/>
  <c r="T5" i="1" s="1"/>
  <c r="J33" i="1"/>
  <c r="M33" i="1" s="1"/>
  <c r="J34" i="1"/>
  <c r="M34" i="1" s="1"/>
  <c r="J35" i="1"/>
  <c r="M35" i="1" s="1"/>
  <c r="J36" i="1"/>
  <c r="M36" i="1" s="1"/>
  <c r="J37" i="1"/>
  <c r="M37" i="1" s="1"/>
  <c r="J38" i="1"/>
  <c r="M38" i="1" s="1"/>
  <c r="J39" i="1"/>
  <c r="M39" i="1" s="1"/>
  <c r="J40" i="1"/>
  <c r="M40" i="1" s="1"/>
  <c r="J41" i="1"/>
  <c r="M41" i="1" s="1"/>
  <c r="J42" i="1"/>
  <c r="M42" i="1" s="1"/>
  <c r="J43" i="1"/>
  <c r="M43" i="1" s="1"/>
  <c r="J44" i="1"/>
  <c r="M44" i="1" s="1"/>
  <c r="J45" i="1"/>
  <c r="M45" i="1" s="1"/>
  <c r="J46" i="1"/>
  <c r="M46" i="1" s="1"/>
  <c r="J47" i="1"/>
  <c r="M47" i="1" s="1"/>
  <c r="J48" i="1"/>
  <c r="M48" i="1" s="1"/>
  <c r="J49" i="1"/>
  <c r="M49" i="1" s="1"/>
  <c r="J50" i="1"/>
  <c r="M50" i="1" s="1"/>
  <c r="J51" i="1"/>
  <c r="M51" i="1" s="1"/>
  <c r="J52" i="1"/>
  <c r="M52" i="1" s="1"/>
  <c r="J53" i="1"/>
  <c r="M53" i="1" s="1"/>
  <c r="J54" i="1"/>
  <c r="M54" i="1" s="1"/>
  <c r="J55" i="1"/>
  <c r="M55" i="1" s="1"/>
  <c r="J56" i="1"/>
  <c r="M56" i="1" s="1"/>
  <c r="J57" i="1"/>
  <c r="M57" i="1" s="1"/>
  <c r="J58" i="1"/>
  <c r="M58" i="1" s="1"/>
  <c r="J59" i="1"/>
  <c r="M59" i="1" s="1"/>
  <c r="J60" i="1"/>
  <c r="M60" i="1" s="1"/>
  <c r="J61" i="1"/>
  <c r="M61" i="1" s="1"/>
  <c r="J62" i="1"/>
  <c r="M62" i="1" s="1"/>
  <c r="J63" i="1"/>
  <c r="M63" i="1" s="1"/>
  <c r="J64" i="1"/>
  <c r="M64" i="1" s="1"/>
  <c r="J65" i="1"/>
  <c r="M65" i="1" s="1"/>
  <c r="J66" i="1"/>
  <c r="M66" i="1" s="1"/>
  <c r="J67" i="1"/>
  <c r="M67" i="1" s="1"/>
  <c r="J68" i="1"/>
  <c r="M68" i="1" s="1"/>
  <c r="J69" i="1"/>
  <c r="M69" i="1" s="1"/>
  <c r="J70" i="1"/>
  <c r="M70" i="1" s="1"/>
  <c r="J71" i="1"/>
  <c r="M71" i="1" s="1"/>
  <c r="J72" i="1"/>
  <c r="M72" i="1" s="1"/>
  <c r="J73" i="1"/>
  <c r="M73" i="1" s="1"/>
  <c r="J74" i="1"/>
  <c r="M74" i="1" s="1"/>
  <c r="J75" i="1"/>
  <c r="M75" i="1" s="1"/>
  <c r="J76" i="1"/>
  <c r="M76" i="1" s="1"/>
  <c r="J77" i="1"/>
  <c r="M77" i="1" s="1"/>
  <c r="J78" i="1"/>
  <c r="M78" i="1" s="1"/>
  <c r="J79" i="1"/>
  <c r="J80" i="1"/>
  <c r="M80" i="1" s="1"/>
  <c r="J81" i="1"/>
  <c r="M81" i="1" s="1"/>
  <c r="J82" i="1"/>
  <c r="M82" i="1" s="1"/>
  <c r="J83" i="1"/>
  <c r="M83" i="1" s="1"/>
  <c r="J84" i="1"/>
  <c r="M84" i="1" s="1"/>
  <c r="J85" i="1"/>
  <c r="M85" i="1" s="1"/>
  <c r="J86" i="1"/>
  <c r="M86" i="1" s="1"/>
  <c r="J87" i="1"/>
  <c r="M87" i="1" s="1"/>
  <c r="J88" i="1"/>
  <c r="M88" i="1" s="1"/>
  <c r="J89" i="1"/>
  <c r="M89" i="1" s="1"/>
  <c r="J90" i="1"/>
  <c r="M90" i="1" s="1"/>
  <c r="J91" i="1"/>
  <c r="M91" i="1" s="1"/>
  <c r="J92" i="1"/>
  <c r="M92" i="1" s="1"/>
  <c r="J93" i="1"/>
  <c r="M93" i="1" s="1"/>
  <c r="J94" i="1"/>
  <c r="M94" i="1" s="1"/>
  <c r="J95" i="1"/>
  <c r="M95" i="1" s="1"/>
  <c r="J96" i="1"/>
  <c r="M96" i="1" s="1"/>
  <c r="J97" i="1"/>
  <c r="M97" i="1" s="1"/>
  <c r="J98" i="1"/>
  <c r="M98" i="1" s="1"/>
  <c r="J99" i="1"/>
  <c r="J100" i="1"/>
  <c r="M100" i="1" s="1"/>
  <c r="J101" i="1"/>
  <c r="M101" i="1" s="1"/>
  <c r="J102" i="1"/>
  <c r="M102" i="1" s="1"/>
  <c r="J103" i="1"/>
  <c r="M103" i="1" s="1"/>
  <c r="J104" i="1"/>
  <c r="M104" i="1" s="1"/>
  <c r="J105" i="1"/>
  <c r="M105" i="1" s="1"/>
  <c r="J106" i="1"/>
  <c r="M106" i="1" s="1"/>
  <c r="J107" i="1"/>
  <c r="M107" i="1" s="1"/>
  <c r="J108" i="1"/>
  <c r="M108" i="1" s="1"/>
  <c r="J109" i="1"/>
  <c r="M109" i="1" s="1"/>
  <c r="J110" i="1"/>
  <c r="M110" i="1" s="1"/>
  <c r="J111" i="1"/>
  <c r="J112" i="1"/>
  <c r="M112" i="1" s="1"/>
  <c r="J113" i="1"/>
  <c r="M113" i="1" s="1"/>
  <c r="S4" i="1" l="1"/>
  <c r="R4" i="1"/>
  <c r="Q4" i="1"/>
  <c r="N4" i="1"/>
  <c r="M10" i="1"/>
</calcChain>
</file>

<file path=xl/sharedStrings.xml><?xml version="1.0" encoding="utf-8"?>
<sst xmlns="http://schemas.openxmlformats.org/spreadsheetml/2006/main" count="805" uniqueCount="227">
  <si>
    <t>Pharmaceutical Sales &amp; Prescription Analysis</t>
  </si>
  <si>
    <t>Prescription ID</t>
  </si>
  <si>
    <t>Drug Name</t>
  </si>
  <si>
    <t>Drug Category</t>
  </si>
  <si>
    <t>Doctor Specialty</t>
  </si>
  <si>
    <t>City</t>
  </si>
  <si>
    <t>Units Sold</t>
  </si>
  <si>
    <t>Unit Price (₹)</t>
  </si>
  <si>
    <t>Total Sales (₹)</t>
  </si>
  <si>
    <t>Prescription Date</t>
  </si>
  <si>
    <t>Paracetamol</t>
  </si>
  <si>
    <t>Analgesic</t>
  </si>
  <si>
    <t>Ibuprofen</t>
  </si>
  <si>
    <t>Aspirin</t>
  </si>
  <si>
    <t>Diclofenac</t>
  </si>
  <si>
    <t>Naproxen</t>
  </si>
  <si>
    <t>Azithromycin</t>
  </si>
  <si>
    <t>Antibiotic</t>
  </si>
  <si>
    <t>Amoxicillin</t>
  </si>
  <si>
    <t>Ciprofloxacin</t>
  </si>
  <si>
    <t>Doxycycline</t>
  </si>
  <si>
    <t>Cefixime</t>
  </si>
  <si>
    <t>Ceftriaxone</t>
  </si>
  <si>
    <t>Clindamycin</t>
  </si>
  <si>
    <t>Metronidazole</t>
  </si>
  <si>
    <t>Metformin</t>
  </si>
  <si>
    <t>Anti-Diabetic</t>
  </si>
  <si>
    <t>Glimepiride</t>
  </si>
  <si>
    <t>Gliclazide</t>
  </si>
  <si>
    <t>Sitagliptin</t>
  </si>
  <si>
    <t>Vildagliptin</t>
  </si>
  <si>
    <t>Insulin Aspart</t>
  </si>
  <si>
    <t>Insulin Glargine</t>
  </si>
  <si>
    <t>Atorvastatin</t>
  </si>
  <si>
    <t>Cardiac</t>
  </si>
  <si>
    <t>Rosuvastatin</t>
  </si>
  <si>
    <t>Simvastatin</t>
  </si>
  <si>
    <t>Clopidogrel</t>
  </si>
  <si>
    <t>Amlodipine</t>
  </si>
  <si>
    <t>Losartan</t>
  </si>
  <si>
    <t>Telmisartan</t>
  </si>
  <si>
    <t>Ramipril</t>
  </si>
  <si>
    <t>Bisoprolol</t>
  </si>
  <si>
    <t>Omeprazole</t>
  </si>
  <si>
    <t>Gastrointestinal</t>
  </si>
  <si>
    <t>Pantoprazole</t>
  </si>
  <si>
    <t>Rabeprazole</t>
  </si>
  <si>
    <t>Esomeprazole</t>
  </si>
  <si>
    <t>Ranitidine</t>
  </si>
  <si>
    <t>Levocetirizine</t>
  </si>
  <si>
    <t>Anti-Allergic</t>
  </si>
  <si>
    <t>Cetirizine</t>
  </si>
  <si>
    <t>Fexofenadine</t>
  </si>
  <si>
    <t>Salbutamol</t>
  </si>
  <si>
    <t>Respiratory</t>
  </si>
  <si>
    <t>Montelukast</t>
  </si>
  <si>
    <t>Budesonide</t>
  </si>
  <si>
    <t>Tiotropium</t>
  </si>
  <si>
    <t>Anti-Emetic</t>
  </si>
  <si>
    <t>Domperidone</t>
  </si>
  <si>
    <t>Vitamin D3</t>
  </si>
  <si>
    <t>Vitamin</t>
  </si>
  <si>
    <t>Vitamin B12</t>
  </si>
  <si>
    <t>Folic Acid</t>
  </si>
  <si>
    <t>Iron Sucrose</t>
  </si>
  <si>
    <t>Calcium Carbonate</t>
  </si>
  <si>
    <t>Prednisolone</t>
  </si>
  <si>
    <t>Steroid</t>
  </si>
  <si>
    <t>Dexamethasone</t>
  </si>
  <si>
    <t>Hydrocortisone</t>
  </si>
  <si>
    <t>Levetiracetam</t>
  </si>
  <si>
    <t>Neurology</t>
  </si>
  <si>
    <t>Phenytoin</t>
  </si>
  <si>
    <t>Gabapentin</t>
  </si>
  <si>
    <t>Sertraline</t>
  </si>
  <si>
    <t>Psychiatry</t>
  </si>
  <si>
    <t>Escitalopram</t>
  </si>
  <si>
    <t>Fluoxetine</t>
  </si>
  <si>
    <t>Tramadol</t>
  </si>
  <si>
    <t>Pain Management</t>
  </si>
  <si>
    <t>Morphine</t>
  </si>
  <si>
    <t>Acyclovir</t>
  </si>
  <si>
    <t>Antiviral</t>
  </si>
  <si>
    <t>Oseltamivir</t>
  </si>
  <si>
    <t>Fluconazole</t>
  </si>
  <si>
    <t>Antifungal</t>
  </si>
  <si>
    <t>Itraconazole</t>
  </si>
  <si>
    <t>RX10234</t>
  </si>
  <si>
    <t>Endocrinologist</t>
  </si>
  <si>
    <t>Bangalore</t>
  </si>
  <si>
    <t>RX18765</t>
  </si>
  <si>
    <t>General Physician</t>
  </si>
  <si>
    <t>Delhi</t>
  </si>
  <si>
    <t>RX14598</t>
  </si>
  <si>
    <t>Cardiologist</t>
  </si>
  <si>
    <t>Mumbai</t>
  </si>
  <si>
    <t>RX19876</t>
  </si>
  <si>
    <t>Lucknow</t>
  </si>
  <si>
    <t>RX17654</t>
  </si>
  <si>
    <t>Pulmonologist</t>
  </si>
  <si>
    <t>Pune</t>
  </si>
  <si>
    <t>RX13245</t>
  </si>
  <si>
    <t>Gastroenterologist</t>
  </si>
  <si>
    <t>Chennai</t>
  </si>
  <si>
    <t>RX16543</t>
  </si>
  <si>
    <t>ENT Specialist</t>
  </si>
  <si>
    <t>Jaipur</t>
  </si>
  <si>
    <t>RX15432</t>
  </si>
  <si>
    <t>Gurgaon</t>
  </si>
  <si>
    <t>RX14321</t>
  </si>
  <si>
    <t>Hyderabad</t>
  </si>
  <si>
    <t>RX19987</t>
  </si>
  <si>
    <t>Neurologist</t>
  </si>
  <si>
    <t>Bhopal</t>
  </si>
  <si>
    <t>RX11234</t>
  </si>
  <si>
    <t>Dermatologist</t>
  </si>
  <si>
    <t>RX16789</t>
  </si>
  <si>
    <t>RX17890</t>
  </si>
  <si>
    <t>Orthopedician</t>
  </si>
  <si>
    <t>Indore</t>
  </si>
  <si>
    <t>RX15678</t>
  </si>
  <si>
    <t>RX13456</t>
  </si>
  <si>
    <t>Ahmedabad</t>
  </si>
  <si>
    <t>RX19823</t>
  </si>
  <si>
    <t>RX17632</t>
  </si>
  <si>
    <t>Pain Specialist</t>
  </si>
  <si>
    <t>Chandigarh</t>
  </si>
  <si>
    <t>RX14329</t>
  </si>
  <si>
    <t>Jodhpur</t>
  </si>
  <si>
    <t>RX18721</t>
  </si>
  <si>
    <t>RX16598</t>
  </si>
  <si>
    <t>Psychiatrist</t>
  </si>
  <si>
    <t>RX10987</t>
  </si>
  <si>
    <t>Internal Medicine</t>
  </si>
  <si>
    <t>Kanpur</t>
  </si>
  <si>
    <t>RX19854</t>
  </si>
  <si>
    <t>RX14567</t>
  </si>
  <si>
    <t>Kochi</t>
  </si>
  <si>
    <t>RX17678</t>
  </si>
  <si>
    <t>Patna</t>
  </si>
  <si>
    <t>RX15489</t>
  </si>
  <si>
    <t>RX13219</t>
  </si>
  <si>
    <t>RX14387</t>
  </si>
  <si>
    <t>RX17690</t>
  </si>
  <si>
    <t>RX16578</t>
  </si>
  <si>
    <t>RX13421</t>
  </si>
  <si>
    <t>RX17854</t>
  </si>
  <si>
    <t>RX15632</t>
  </si>
  <si>
    <t>Rheumatologist</t>
  </si>
  <si>
    <t>RX18745</t>
  </si>
  <si>
    <t>RX10923</t>
  </si>
  <si>
    <t>RX19811</t>
  </si>
  <si>
    <t>RX14587</t>
  </si>
  <si>
    <t>RX13298</t>
  </si>
  <si>
    <t>RX15421</t>
  </si>
  <si>
    <t>RX16589</t>
  </si>
  <si>
    <t>RX17821</t>
  </si>
  <si>
    <t>RX14365</t>
  </si>
  <si>
    <t>RX18790</t>
  </si>
  <si>
    <t>Hematologist</t>
  </si>
  <si>
    <t>RX24109</t>
  </si>
  <si>
    <t>RX26871</t>
  </si>
  <si>
    <t>RX29345</t>
  </si>
  <si>
    <t>RX21456</t>
  </si>
  <si>
    <t>RX28764</t>
  </si>
  <si>
    <t>RX25678</t>
  </si>
  <si>
    <t>RX29901</t>
  </si>
  <si>
    <t>RX22134</t>
  </si>
  <si>
    <t>RX27543</t>
  </si>
  <si>
    <t>RX26321</t>
  </si>
  <si>
    <t>RX29876</t>
  </si>
  <si>
    <t>RX23498</t>
  </si>
  <si>
    <t>RX27654</t>
  </si>
  <si>
    <t>RX28910</t>
  </si>
  <si>
    <t>RX24567</t>
  </si>
  <si>
    <t>RX23198</t>
  </si>
  <si>
    <t>RX26789</t>
  </si>
  <si>
    <t>RX29456</t>
  </si>
  <si>
    <t>RX25890</t>
  </si>
  <si>
    <t>RX21234</t>
  </si>
  <si>
    <t>RX27901</t>
  </si>
  <si>
    <t>RX26654</t>
  </si>
  <si>
    <t>RX28876</t>
  </si>
  <si>
    <t>RX25432</t>
  </si>
  <si>
    <t>RX29765</t>
  </si>
  <si>
    <t>RX23543</t>
  </si>
  <si>
    <t>RX27198</t>
  </si>
  <si>
    <t>RX24987</t>
  </si>
  <si>
    <t>RX28456</t>
  </si>
  <si>
    <t>RX23678</t>
  </si>
  <si>
    <t>RX29812</t>
  </si>
  <si>
    <t>RX25109</t>
  </si>
  <si>
    <t>RX26987</t>
  </si>
  <si>
    <t>RX22345</t>
  </si>
  <si>
    <t>RX29567</t>
  </si>
  <si>
    <t>RX24876</t>
  </si>
  <si>
    <t>RX28123</t>
  </si>
  <si>
    <t>RX25998</t>
  </si>
  <si>
    <t>RX29210</t>
  </si>
  <si>
    <t>Sr. No.</t>
  </si>
  <si>
    <t>Sum</t>
  </si>
  <si>
    <t>Average Units Sold</t>
  </si>
  <si>
    <t xml:space="preserve">Average Unit Price </t>
  </si>
  <si>
    <t>MAX Sales</t>
  </si>
  <si>
    <t>MIN Sales</t>
  </si>
  <si>
    <t>Drug Name - Drug Category</t>
  </si>
  <si>
    <t>VLOOKUP</t>
  </si>
  <si>
    <t>SUMIF</t>
  </si>
  <si>
    <t>XLOOKUP</t>
  </si>
  <si>
    <t>(Unit Price on the basis of Drug Name)</t>
  </si>
  <si>
    <t>(Drug Name &amp;category on the basis of Prescription ID)</t>
  </si>
  <si>
    <t>(Units Sold on the basis of Drug Name)</t>
  </si>
  <si>
    <t>Revenue on the basis of Prescription ID)</t>
  </si>
  <si>
    <t>Revenue(IF)</t>
  </si>
  <si>
    <t>Row Labels</t>
  </si>
  <si>
    <t>Sum of Total Sales (₹)</t>
  </si>
  <si>
    <t>Grand Total</t>
  </si>
  <si>
    <t>Sum of Units Sold</t>
  </si>
  <si>
    <t>UPI</t>
  </si>
  <si>
    <t>Cash</t>
  </si>
  <si>
    <t>Card</t>
  </si>
  <si>
    <t>Payment Mode</t>
  </si>
  <si>
    <t>Sheet1!$A$3:$U$113</t>
  </si>
  <si>
    <t>Index</t>
  </si>
  <si>
    <t>Match</t>
  </si>
  <si>
    <t>Index + Match</t>
  </si>
  <si>
    <t>(Index number on the basis of Prescription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</si>
</sst>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4" x14ac:knownFonts="1">
    <font>
      <sz val="11"/>
      <color theme="1"/>
      <name val="Calibri"/>
      <family val="2"/>
      <scheme val="minor"/>
    </font>
    <font>
      <b/>
      <i/>
      <sz val="20"/>
      <color theme="2" tint="-0.499984740745262"/>
      <name val="Calibri"/>
      <family val="2"/>
      <scheme val="minor"/>
    </font>
    <font>
      <b/>
      <sz val="14"/>
      <color theme="0" tint="-0.499984740745262"/>
      <name val="Calibri"/>
      <family val="2"/>
      <scheme val="minor"/>
    </font>
    <font>
      <sz val="8"/>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21">
    <xf numFmtId="0" fontId="0" fillId="0" borderId="0" xfId="0"/>
    <xf numFmtId="14" fontId="0" fillId="0" borderId="0" xfId="0" applyNumberFormat="1"/>
    <xf numFmtId="0" fontId="0" fillId="0" borderId="0" xfId="0" applyAlignment="1">
      <alignment horizontal="center"/>
    </xf>
    <xf numFmtId="0" fontId="2" fillId="3" borderId="0" xfId="0" applyFont="1" applyFill="1" applyAlignment="1">
      <alignment horizontal="center" vertical="center" wrapText="1"/>
    </xf>
    <xf numFmtId="0" fontId="2" fillId="3" borderId="0" xfId="0" applyFont="1" applyFill="1" applyAlignment="1">
      <alignment horizontal="center" vertical="center"/>
    </xf>
    <xf numFmtId="2" fontId="0" fillId="0" borderId="0" xfId="0" applyNumberFormat="1"/>
    <xf numFmtId="164" fontId="0" fillId="0" borderId="0" xfId="0" applyNumberFormat="1"/>
    <xf numFmtId="165" fontId="0" fillId="0" borderId="0" xfId="0" applyNumberFormat="1"/>
    <xf numFmtId="0" fontId="2" fillId="5" borderId="0" xfId="0" applyFont="1" applyFill="1" applyAlignment="1">
      <alignment horizontal="center" vertical="center" wrapText="1"/>
    </xf>
    <xf numFmtId="14" fontId="0" fillId="4" borderId="0" xfId="0" applyNumberFormat="1" applyFill="1"/>
    <xf numFmtId="165" fontId="2" fillId="3" borderId="0" xfId="0" applyNumberFormat="1" applyFont="1" applyFill="1" applyAlignment="1">
      <alignment horizontal="center" vertical="center" wrapText="1"/>
    </xf>
    <xf numFmtId="9" fontId="0" fillId="0" borderId="0" xfId="0" applyNumberFormat="1"/>
    <xf numFmtId="0" fontId="1"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alignment horizontal="center" vertical="center"/>
    </xf>
    <xf numFmtId="0" fontId="0" fillId="0" borderId="0" xfId="0" applyAlignment="1">
      <alignment horizontal="center" vertical="center"/>
    </xf>
    <xf numFmtId="165" fontId="2" fillId="5" borderId="0" xfId="0" applyNumberFormat="1" applyFont="1" applyFill="1" applyAlignment="1">
      <alignment horizontal="center" vertical="center" wrapText="1"/>
    </xf>
    <xf numFmtId="165" fontId="0" fillId="0" borderId="0" xfId="0" applyNumberFormat="1" applyAlignment="1">
      <alignment horizontal="center" vertical="center"/>
    </xf>
    <xf numFmtId="165" fontId="0" fillId="0" borderId="0" xfId="0" applyNumberFormat="1" applyAlignment="1">
      <alignment horizontal="center"/>
    </xf>
  </cellXfs>
  <cellStyles count="1">
    <cellStyle name="Normal" xfId="0" builtinId="0"/>
  </cellStyles>
  <dxfs count="18">
    <dxf>
      <alignment horizontal="center" vertical="bottom" textRotation="0" wrapText="0" indent="0" justifyLastLine="0" shrinkToFit="0" readingOrder="0"/>
    </dxf>
    <dxf>
      <numFmt numFmtId="165" formatCode="&quot;₹&quot;\ #,##0"/>
    </dxf>
    <dxf>
      <numFmt numFmtId="19" formatCode="dd/mm/yyyy"/>
    </dxf>
    <dxf>
      <numFmt numFmtId="0" formatCode="General"/>
    </dxf>
    <dxf>
      <numFmt numFmtId="0" formatCode="General"/>
    </dxf>
    <dxf>
      <numFmt numFmtId="165" formatCode="&quot;₹&quot;\ #,##0"/>
    </dxf>
    <dxf>
      <fill>
        <patternFill>
          <bgColor rgb="FFFFC7CE"/>
        </patternFill>
      </fill>
    </dxf>
    <dxf>
      <font>
        <color rgb="FF9C5700"/>
      </font>
      <fill>
        <patternFill>
          <bgColor rgb="FFFFEB9C"/>
        </patternFill>
      </fill>
    </dxf>
    <dxf>
      <font>
        <color rgb="FF006100"/>
      </font>
      <fill>
        <patternFill>
          <bgColor rgb="FFC6EFCE"/>
        </patternFill>
      </fill>
    </dxf>
    <dxf>
      <numFmt numFmtId="165" formatCode="&quot;₹&quot;\ #,##0"/>
    </dxf>
    <dxf>
      <numFmt numFmtId="165" formatCode="&quot;₹&quot;\ #,##0"/>
    </dxf>
    <dxf>
      <numFmt numFmtId="0" formatCode="General"/>
      <alignment horizontal="center" vertical="bottom" textRotation="0" wrapText="0" indent="0" justifyLastLine="0" shrinkToFit="0" readingOrder="0"/>
    </dxf>
    <dxf>
      <numFmt numFmtId="0" formatCode="General"/>
    </dxf>
    <dxf>
      <numFmt numFmtId="0" formatCode="General"/>
      <alignment horizontal="center" vertical="bottom" textRotation="0" wrapText="0" indent="0" justifyLastLine="0" shrinkToFit="0" readingOrder="0"/>
    </dxf>
    <dxf>
      <numFmt numFmtId="165" formatCode="&quot;₹&quot;\ #,##0"/>
    </dxf>
    <dxf>
      <numFmt numFmtId="19" formatCode="dd/mm/yyyy"/>
    </dxf>
    <dxf>
      <numFmt numFmtId="165" formatCode="&quot;₹&quot;\ #,##0"/>
    </dxf>
    <dxf>
      <font>
        <b/>
        <i val="0"/>
        <strike val="0"/>
        <condense val="0"/>
        <extend val="0"/>
        <outline val="0"/>
        <shadow val="0"/>
        <u val="none"/>
        <vertAlign val="baseline"/>
        <sz val="14"/>
        <color theme="0" tint="-0.499984740745262"/>
        <name val="Calibri"/>
        <family val="2"/>
        <scheme val="minor"/>
      </font>
      <fill>
        <patternFill patternType="solid">
          <fgColor indexed="64"/>
          <bgColor theme="9" tint="0.79998168889431442"/>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[E_P.xlsx]Sheet3!PivotTable20</c:name>
    <c:fmtId val="0"/>
  </c:pivotSource>
  <c:chart>
    <c:title>
      <c:layout>
        <c:manualLayout>
          <c:xMode val="edge"/>
          <c:yMode val="edge"/>
          <c:x val="0.4563888888888889"/>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Sheet3!$B$4:$B$19</c:f>
              <c:strCache>
                <c:ptCount val="15"/>
                <c:pt idx="0">
                  <c:v>Analgesic</c:v>
                </c:pt>
                <c:pt idx="1">
                  <c:v>Anti-Allergic</c:v>
                </c:pt>
                <c:pt idx="2">
                  <c:v>Antibiotic</c:v>
                </c:pt>
                <c:pt idx="3">
                  <c:v>Anti-Diabetic</c:v>
                </c:pt>
                <c:pt idx="4">
                  <c:v>Anti-Emetic</c:v>
                </c:pt>
                <c:pt idx="5">
                  <c:v>Antifungal</c:v>
                </c:pt>
                <c:pt idx="6">
                  <c:v>Antiviral</c:v>
                </c:pt>
                <c:pt idx="7">
                  <c:v>Cardiac</c:v>
                </c:pt>
                <c:pt idx="8">
                  <c:v>Gastrointestinal</c:v>
                </c:pt>
                <c:pt idx="9">
                  <c:v>Neurology</c:v>
                </c:pt>
                <c:pt idx="10">
                  <c:v>Pain Management</c:v>
                </c:pt>
                <c:pt idx="11">
                  <c:v>Psychiatry</c:v>
                </c:pt>
                <c:pt idx="12">
                  <c:v>Respiratory</c:v>
                </c:pt>
                <c:pt idx="13">
                  <c:v>Steroid</c:v>
                </c:pt>
                <c:pt idx="14">
                  <c:v>Vitamin</c:v>
                </c:pt>
              </c:strCache>
            </c:strRef>
          </c:cat>
          <c:val>
            <c:numRef>
              <c:f>Sheet3!$C$4:$C$19</c:f>
              <c:numCache>
                <c:formatCode>General</c:formatCode>
                <c:ptCount val="15"/>
                <c:pt idx="0">
                  <c:v>2377</c:v>
                </c:pt>
                <c:pt idx="1">
                  <c:v>1808</c:v>
                </c:pt>
                <c:pt idx="2">
                  <c:v>3447</c:v>
                </c:pt>
                <c:pt idx="3">
                  <c:v>3092</c:v>
                </c:pt>
                <c:pt idx="4">
                  <c:v>364</c:v>
                </c:pt>
                <c:pt idx="5">
                  <c:v>1308</c:v>
                </c:pt>
                <c:pt idx="6">
                  <c:v>1603</c:v>
                </c:pt>
                <c:pt idx="7">
                  <c:v>3143</c:v>
                </c:pt>
                <c:pt idx="8">
                  <c:v>1675</c:v>
                </c:pt>
                <c:pt idx="9">
                  <c:v>1566</c:v>
                </c:pt>
                <c:pt idx="10">
                  <c:v>1652</c:v>
                </c:pt>
                <c:pt idx="11">
                  <c:v>1465</c:v>
                </c:pt>
                <c:pt idx="12">
                  <c:v>3013</c:v>
                </c:pt>
                <c:pt idx="13">
                  <c:v>1156</c:v>
                </c:pt>
                <c:pt idx="14">
                  <c:v>2265</c:v>
                </c:pt>
              </c:numCache>
            </c:numRef>
          </c:val>
          <c:extLst>
            <c:ext xmlns:c16="http://schemas.microsoft.com/office/drawing/2014/chart" uri="{C3380CC4-5D6E-409C-BE32-E72D297353CC}">
              <c16:uniqueId val="{00000000-CE36-445E-8C3A-3D389245482A}"/>
            </c:ext>
          </c:extLst>
        </c:ser>
        <c:dLbls>
          <c:dLblPos val="outEnd"/>
          <c:showLegendKey val="0"/>
          <c:showVal val="0"/>
          <c:showCatName val="0"/>
          <c:showSerName val="0"/>
          <c:showPercent val="0"/>
          <c:showBubbleSize val="0"/>
        </c:dLbls>
        <c:gapWidth val="219"/>
        <c:overlap val="-27"/>
        <c:axId val="1016220384"/>
        <c:axId val="1261408560"/>
      </c:barChart>
      <c:catAx>
        <c:axId val="101622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408560"/>
        <c:crosses val="autoZero"/>
        <c:auto val="1"/>
        <c:lblAlgn val="ctr"/>
        <c:lblOffset val="100"/>
        <c:noMultiLvlLbl val="0"/>
      </c:catAx>
      <c:valAx>
        <c:axId val="126140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22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[E_P.xlsx]Sheet3!PivotTable21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Sheet3!$C$24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cat>
            <c:strRef>
              <c:f>Sheet3!$B$25:$B$40</c:f>
              <c:strCache>
                <c:ptCount val="15"/>
                <c:pt idx="0">
                  <c:v>Analgesic</c:v>
                </c:pt>
                <c:pt idx="1">
                  <c:v>Anti-Allergic</c:v>
                </c:pt>
                <c:pt idx="2">
                  <c:v>Antibiotic</c:v>
                </c:pt>
                <c:pt idx="3">
                  <c:v>Anti-Diabetic</c:v>
                </c:pt>
                <c:pt idx="4">
                  <c:v>Anti-Emetic</c:v>
                </c:pt>
                <c:pt idx="5">
                  <c:v>Antifungal</c:v>
                </c:pt>
                <c:pt idx="6">
                  <c:v>Antiviral</c:v>
                </c:pt>
                <c:pt idx="7">
                  <c:v>Cardiac</c:v>
                </c:pt>
                <c:pt idx="8">
                  <c:v>Gastrointestinal</c:v>
                </c:pt>
                <c:pt idx="9">
                  <c:v>Neurology</c:v>
                </c:pt>
                <c:pt idx="10">
                  <c:v>Pain Management</c:v>
                </c:pt>
                <c:pt idx="11">
                  <c:v>Psychiatry</c:v>
                </c:pt>
                <c:pt idx="12">
                  <c:v>Respiratory</c:v>
                </c:pt>
                <c:pt idx="13">
                  <c:v>Steroid</c:v>
                </c:pt>
                <c:pt idx="14">
                  <c:v>Vitamin</c:v>
                </c:pt>
              </c:strCache>
            </c:strRef>
          </c:cat>
          <c:val>
            <c:numRef>
              <c:f>Sheet3!$C$25:$C$40</c:f>
              <c:numCache>
                <c:formatCode>"₹"\ #,##0</c:formatCode>
                <c:ptCount val="15"/>
                <c:pt idx="0">
                  <c:v>36473</c:v>
                </c:pt>
                <c:pt idx="1">
                  <c:v>12748</c:v>
                </c:pt>
                <c:pt idx="2">
                  <c:v>133144</c:v>
                </c:pt>
                <c:pt idx="3">
                  <c:v>142098</c:v>
                </c:pt>
                <c:pt idx="4">
                  <c:v>4004</c:v>
                </c:pt>
                <c:pt idx="5">
                  <c:v>85786</c:v>
                </c:pt>
                <c:pt idx="6">
                  <c:v>152691</c:v>
                </c:pt>
                <c:pt idx="7">
                  <c:v>52002</c:v>
                </c:pt>
                <c:pt idx="8">
                  <c:v>22610</c:v>
                </c:pt>
                <c:pt idx="9">
                  <c:v>66904</c:v>
                </c:pt>
                <c:pt idx="10">
                  <c:v>112544</c:v>
                </c:pt>
                <c:pt idx="11">
                  <c:v>76771</c:v>
                </c:pt>
                <c:pt idx="12">
                  <c:v>135521</c:v>
                </c:pt>
                <c:pt idx="13">
                  <c:v>25742</c:v>
                </c:pt>
                <c:pt idx="14">
                  <c:v>112294</c:v>
                </c:pt>
              </c:numCache>
            </c:numRef>
          </c:val>
          <c:extLst>
            <c:ext xmlns:c16="http://schemas.microsoft.com/office/drawing/2014/chart" uri="{C3380CC4-5D6E-409C-BE32-E72D297353CC}">
              <c16:uniqueId val="{00000000-42AE-4347-8F04-1555E1DB81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[E_P.xlsx]Sheet3!PivotTable22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Sheet3!$C$44</c:f>
              <c:strCache>
                <c:ptCount val="1"/>
                <c:pt idx="0">
                  <c:v>Total</c:v>
                </c:pt>
              </c:strCache>
            </c:strRef>
          </c:tx>
          <c:spPr>
            <a:solidFill>
              <a:schemeClr val="accent1"/>
            </a:solidFill>
            <a:ln>
              <a:noFill/>
            </a:ln>
            <a:effectLst/>
          </c:spPr>
          <c:cat>
            <c:strRef>
              <c:f>Sheet3!$B$45:$B$62</c:f>
              <c:strCache>
                <c:ptCount val="17"/>
                <c:pt idx="0">
                  <c:v>Ahmedabad</c:v>
                </c:pt>
                <c:pt idx="1">
                  <c:v>Bangalore</c:v>
                </c:pt>
                <c:pt idx="2">
                  <c:v>Bhopal</c:v>
                </c:pt>
                <c:pt idx="3">
                  <c:v>Chandigarh</c:v>
                </c:pt>
                <c:pt idx="4">
                  <c:v>Chennai</c:v>
                </c:pt>
                <c:pt idx="5">
                  <c:v>Delhi</c:v>
                </c:pt>
                <c:pt idx="6">
                  <c:v>Gurgaon</c:v>
                </c:pt>
                <c:pt idx="7">
                  <c:v>Hyderabad</c:v>
                </c:pt>
                <c:pt idx="8">
                  <c:v>Indore</c:v>
                </c:pt>
                <c:pt idx="9">
                  <c:v>Jaipur</c:v>
                </c:pt>
                <c:pt idx="10">
                  <c:v>Jodhpur</c:v>
                </c:pt>
                <c:pt idx="11">
                  <c:v>Kanpur</c:v>
                </c:pt>
                <c:pt idx="12">
                  <c:v>Kochi</c:v>
                </c:pt>
                <c:pt idx="13">
                  <c:v>Lucknow</c:v>
                </c:pt>
                <c:pt idx="14">
                  <c:v>Mumbai</c:v>
                </c:pt>
                <c:pt idx="15">
                  <c:v>Patna</c:v>
                </c:pt>
                <c:pt idx="16">
                  <c:v>Pune</c:v>
                </c:pt>
              </c:strCache>
            </c:strRef>
          </c:cat>
          <c:val>
            <c:numRef>
              <c:f>Sheet3!$C$45:$C$62</c:f>
              <c:numCache>
                <c:formatCode>"₹"\ #,##0</c:formatCode>
                <c:ptCount val="17"/>
                <c:pt idx="0">
                  <c:v>6864</c:v>
                </c:pt>
                <c:pt idx="1">
                  <c:v>158415</c:v>
                </c:pt>
                <c:pt idx="2">
                  <c:v>18190</c:v>
                </c:pt>
                <c:pt idx="3">
                  <c:v>21123</c:v>
                </c:pt>
                <c:pt idx="4">
                  <c:v>114369</c:v>
                </c:pt>
                <c:pt idx="5">
                  <c:v>367512</c:v>
                </c:pt>
                <c:pt idx="6">
                  <c:v>4096</c:v>
                </c:pt>
                <c:pt idx="7">
                  <c:v>730</c:v>
                </c:pt>
                <c:pt idx="8">
                  <c:v>28550</c:v>
                </c:pt>
                <c:pt idx="9">
                  <c:v>37077</c:v>
                </c:pt>
                <c:pt idx="10">
                  <c:v>1862</c:v>
                </c:pt>
                <c:pt idx="11">
                  <c:v>6191</c:v>
                </c:pt>
                <c:pt idx="12">
                  <c:v>55000</c:v>
                </c:pt>
                <c:pt idx="13">
                  <c:v>34295</c:v>
                </c:pt>
                <c:pt idx="14">
                  <c:v>252515</c:v>
                </c:pt>
                <c:pt idx="15">
                  <c:v>9795</c:v>
                </c:pt>
                <c:pt idx="16">
                  <c:v>54748</c:v>
                </c:pt>
              </c:numCache>
            </c:numRef>
          </c:val>
          <c:extLst>
            <c:ext xmlns:c16="http://schemas.microsoft.com/office/drawing/2014/chart" uri="{C3380CC4-5D6E-409C-BE32-E72D297353CC}">
              <c16:uniqueId val="{00000000-783A-463F-9830-519FEB434DEC}"/>
            </c:ext>
          </c:extLst>
        </c:ser>
        <c:dLbls>
          <c:showLegendKey val="0"/>
          <c:showVal val="0"/>
          <c:showCatName val="0"/>
          <c:showSerName val="0"/>
          <c:showPercent val="0"/>
          <c:showBubbleSize val="0"/>
        </c:dLbls>
        <c:axId val="196270144"/>
        <c:axId val="196266784"/>
      </c:areaChart>
      <c:catAx>
        <c:axId val="196270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66784"/>
        <c:crosses val="autoZero"/>
        <c:auto val="1"/>
        <c:lblAlgn val="ctr"/>
        <c:lblOffset val="100"/>
        <c:noMultiLvlLbl val="0"/>
      </c:catAx>
      <c:valAx>
        <c:axId val="196266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0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[E_P.xlsx]Sheet3!PivotTable23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Sheet3!$C$66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Sheet3!$B$67:$B$70</c:f>
              <c:strCache>
                <c:ptCount val="3"/>
                <c:pt idx="0">
                  <c:v>Card</c:v>
                </c:pt>
                <c:pt idx="1">
                  <c:v>Cash</c:v>
                </c:pt>
                <c:pt idx="2">
                  <c:v>UPI</c:v>
                </c:pt>
              </c:strCache>
            </c:strRef>
          </c:cat>
          <c:val>
            <c:numRef>
              <c:f>Sheet3!$C$67:$C$70</c:f>
              <c:numCache>
                <c:formatCode>"₹"\ #,##0</c:formatCode>
                <c:ptCount val="3"/>
                <c:pt idx="0">
                  <c:v>301174</c:v>
                </c:pt>
                <c:pt idx="1">
                  <c:v>331935</c:v>
                </c:pt>
                <c:pt idx="2">
                  <c:v>538223</c:v>
                </c:pt>
              </c:numCache>
            </c:numRef>
          </c:val>
          <c:extLst>
            <c:ext xmlns:c16="http://schemas.microsoft.com/office/drawing/2014/chart" uri="{C3380CC4-5D6E-409C-BE32-E72D297353CC}">
              <c16:uniqueId val="{00000000-26CC-48A5-A46D-6E1873A4393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108858</xdr:colOff>
      <xdr:row>125</xdr:row>
      <xdr:rowOff>30480</xdr:rowOff>
    </xdr:from>
    <xdr:to>
      <xdr:col>8</xdr:col>
      <xdr:colOff>979715</xdr:colOff>
      <xdr:row>131</xdr:row>
      <xdr:rowOff>163286</xdr:rowOff>
    </xdr:to>
    <mc:AlternateContent xmlns:mc="http://schemas.openxmlformats.org/markup-compatibility/2006">
      <mc:Choice xmlns:a14="http://schemas.microsoft.com/office/drawing/2010/main" Requires="a14">
        <xdr:graphicFrame macro="">
          <xdr:nvGraphicFramePr>
            <xdr:cNvPr id="2" name="Payment Mode">
              <a:extLst>
                <a:ext uri="{FF2B5EF4-FFF2-40B4-BE49-F238E27FC236}">
                  <a16:creationId xmlns:a16="http://schemas.microsoft.com/office/drawing/2014/main" id="{803A02FA-E5F6-5052-688E-D4C311F7096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8980043" y="22805813"/>
              <a:ext cx="1821005" cy="1205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142</xdr:row>
      <xdr:rowOff>128452</xdr:rowOff>
    </xdr:from>
    <xdr:to>
      <xdr:col>1</xdr:col>
      <xdr:colOff>947057</xdr:colOff>
      <xdr:row>156</xdr:row>
      <xdr:rowOff>4627</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CE58F804-77BA-476E-9619-3591690E000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6200" y="25942378"/>
              <a:ext cx="1821005" cy="2378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3</xdr:row>
      <xdr:rowOff>11430</xdr:rowOff>
    </xdr:from>
    <xdr:to>
      <xdr:col>10</xdr:col>
      <xdr:colOff>457200</xdr:colOff>
      <xdr:row>18</xdr:row>
      <xdr:rowOff>11430</xdr:rowOff>
    </xdr:to>
    <xdr:graphicFrame macro="">
      <xdr:nvGraphicFramePr>
        <xdr:cNvPr id="2" name="Chart 1">
          <a:extLst>
            <a:ext uri="{FF2B5EF4-FFF2-40B4-BE49-F238E27FC236}">
              <a16:creationId xmlns:a16="http://schemas.microsoft.com/office/drawing/2014/main" id="{E2A9A227-B777-CE8B-38F6-B5944EE9F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1074420</xdr:colOff>
      <xdr:row>23</xdr:row>
      <xdr:rowOff>171450</xdr:rowOff>
    </xdr:from>
    <xdr:to>
      <xdr:col>10</xdr:col>
      <xdr:colOff>419100</xdr:colOff>
      <xdr:row>38</xdr:row>
      <xdr:rowOff>171450</xdr:rowOff>
    </xdr:to>
    <xdr:graphicFrame macro="">
      <xdr:nvGraphicFramePr>
        <xdr:cNvPr id="3" name="Chart 2">
          <a:extLst>
            <a:ext uri="{FF2B5EF4-FFF2-40B4-BE49-F238E27FC236}">
              <a16:creationId xmlns:a16="http://schemas.microsoft.com/office/drawing/2014/main" id="{40D02937-044D-344B-85DB-DDB7768D99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1074420</xdr:colOff>
      <xdr:row>43</xdr:row>
      <xdr:rowOff>163830</xdr:rowOff>
    </xdr:from>
    <xdr:to>
      <xdr:col>10</xdr:col>
      <xdr:colOff>419100</xdr:colOff>
      <xdr:row>60</xdr:row>
      <xdr:rowOff>152400</xdr:rowOff>
    </xdr:to>
    <xdr:graphicFrame macro="">
      <xdr:nvGraphicFramePr>
        <xdr:cNvPr id="4" name="Chart 3">
          <a:extLst>
            <a:ext uri="{FF2B5EF4-FFF2-40B4-BE49-F238E27FC236}">
              <a16:creationId xmlns:a16="http://schemas.microsoft.com/office/drawing/2014/main" id="{84577245-F562-8A53-1F8D-A23C80845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281940</xdr:colOff>
      <xdr:row>63</xdr:row>
      <xdr:rowOff>7620</xdr:rowOff>
    </xdr:from>
    <xdr:to>
      <xdr:col>9</xdr:col>
      <xdr:colOff>556260</xdr:colOff>
      <xdr:row>75</xdr:row>
      <xdr:rowOff>34290</xdr:rowOff>
    </xdr:to>
    <xdr:graphicFrame macro="">
      <xdr:nvGraphicFramePr>
        <xdr:cNvPr id="6" name="Chart 5">
          <a:extLst>
            <a:ext uri="{FF2B5EF4-FFF2-40B4-BE49-F238E27FC236}">
              <a16:creationId xmlns:a16="http://schemas.microsoft.com/office/drawing/2014/main" id="{2B57BAFD-D3CF-6ED1-D79F-F77F6C4A3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036.863278240744" createdVersion="8" refreshedVersion="8" minRefreshableVersion="3" recordCount="110" xr:uid="{D36A2F2C-C145-479E-B838-F1F500C2994D}">
  <cacheSource type="worksheet">
    <worksheetSource ref="A3:U113" sheet="Sheet1"/>
  </cacheSource>
  <cacheFields count="21">
    <cacheField name="Sr. No." numFmtId="0">
      <sharedItems containsSemiMixedTypes="0" containsString="0" containsNumber="1" containsInteger="1" minValue="1" maxValue="110"/>
    </cacheField>
    <cacheField name="Prescription ID" numFmtId="0">
      <sharedItems/>
    </cacheField>
    <cacheField name="Drug Name" numFmtId="0">
      <sharedItems count="62">
        <s v="Metformin"/>
        <s v="Azithromycin"/>
        <s v="Atorvastatin"/>
        <s v="Paracetamol"/>
        <s v="Salbutamol"/>
        <s v="Pantoprazole"/>
        <s v="Cetirizine"/>
        <s v="Glimepiride"/>
        <s v="Amlodipine"/>
        <s v="Levetiracetam"/>
        <s v="Fluconazole"/>
        <s v="Montelukast"/>
        <s v="Vitamin D3"/>
        <s v="Domperidone"/>
        <s v="Rosuvastatin"/>
        <s v="Doxycycline"/>
        <s v="Tramadol"/>
        <s v="Losartan"/>
        <s v="Insulin Glargine"/>
        <s v="Escitalopram"/>
        <s v="Ciprofloxacin"/>
        <s v="Omeprazole"/>
        <s v="Budesonide"/>
        <s v="Folic Acid"/>
        <s v="Sertraline"/>
        <s v="Clopidogrel"/>
        <s v="Phenytoin"/>
        <s v="Itraconazole"/>
        <s v="Rabeprazole"/>
        <s v="Gabapentin"/>
        <s v="Oseltamivir"/>
        <s v="Vildagliptin"/>
        <s v="Prednisolone"/>
        <s v="Cefixime"/>
        <s v="Naproxen"/>
        <s v="Morphine"/>
        <s v="Hydrocortisone"/>
        <s v="Calcium Carbonate"/>
        <s v="Acyclovir"/>
        <s v="Ranitidine"/>
        <s v="Simvastatin"/>
        <s v="Sitagliptin"/>
        <s v="Dexamethasone"/>
        <s v="Levocetirizine"/>
        <s v="Tiotropium"/>
        <s v="Bisoprolol"/>
        <s v="Insulin Aspart"/>
        <s v="Fluoxetine"/>
        <s v="Ibuprofen"/>
        <s v="Iron Sucrose"/>
        <s v="Ceftriaxone"/>
        <s v="Ramipril"/>
        <s v="Gliclazide"/>
        <s v="Clindamycin"/>
        <s v="Diclofenac"/>
        <s v="Esomeprazole"/>
        <s v="Fexofenadine"/>
        <s v="Telmisartan"/>
        <s v="Metronidazole"/>
        <s v="Vitamin B12"/>
        <s v="Aspirin"/>
        <s v="Amoxicillin"/>
      </sharedItems>
    </cacheField>
    <cacheField name="Drug Category" numFmtId="0">
      <sharedItems count="15">
        <s v="Anti-Diabetic"/>
        <s v="Antibiotic"/>
        <s v="Cardiac"/>
        <s v="Analgesic"/>
        <s v="Respiratory"/>
        <s v="Gastrointestinal"/>
        <s v="Anti-Allergic"/>
        <s v="Neurology"/>
        <s v="Antifungal"/>
        <s v="Vitamin"/>
        <s v="Anti-Emetic"/>
        <s v="Pain Management"/>
        <s v="Psychiatry"/>
        <s v="Antiviral"/>
        <s v="Steroid"/>
      </sharedItems>
    </cacheField>
    <cacheField name="Doctor Specialty" numFmtId="0">
      <sharedItems/>
    </cacheField>
    <cacheField name="City" numFmtId="0">
      <sharedItems count="17">
        <s v="Bangalore"/>
        <s v="Delhi"/>
        <s v="Mumbai"/>
        <s v="Lucknow"/>
        <s v="Pune"/>
        <s v="Chennai"/>
        <s v="Jaipur"/>
        <s v="Gurgaon"/>
        <s v="Hyderabad"/>
        <s v="Bhopal"/>
        <s v="Indore"/>
        <s v="Ahmedabad"/>
        <s v="Chandigarh"/>
        <s v="Jodhpur"/>
        <s v="Kanpur"/>
        <s v="Kochi"/>
        <s v="Patna"/>
      </sharedItems>
    </cacheField>
    <cacheField name="Units Sold" numFmtId="0">
      <sharedItems containsSemiMixedTypes="0" containsString="0" containsNumber="1" containsInteger="1" minValue="54" maxValue="499"/>
    </cacheField>
    <cacheField name="Unit Price (₹)" numFmtId="165">
      <sharedItems containsSemiMixedTypes="0" containsString="0" containsNumber="1" minValue="1.5" maxValue="185"/>
    </cacheField>
    <cacheField name="Prescription Date" numFmtId="14">
      <sharedItems containsSemiMixedTypes="0" containsNonDate="0" containsDate="1" containsString="0" minDate="2024-01-12T00:00:00" maxDate="2024-07-10T00:00:00"/>
    </cacheField>
    <cacheField name="Total Sales (₹)" numFmtId="165">
      <sharedItems containsSemiMixedTypes="0" containsString="0" containsNumber="1" containsInteger="1" minValue="207" maxValue="60300"/>
    </cacheField>
    <cacheField name="Payment Mode" numFmtId="0">
      <sharedItems count="3">
        <s v="UPI"/>
        <s v="Cash"/>
        <s v="Card"/>
      </sharedItems>
    </cacheField>
    <cacheField name="Drug Name - Drug Category" numFmtId="0">
      <sharedItems/>
    </cacheField>
    <cacheField name="Revenue(IF)" numFmtId="0">
      <sharedItems count="3">
        <s v="Low"/>
        <s v="Medium"/>
        <s v="High"/>
      </sharedItems>
    </cacheField>
    <cacheField name="Sum" numFmtId="165">
      <sharedItems containsString="0" containsBlank="1" containsNumber="1" containsInteger="1" minValue="1171332" maxValue="1171332"/>
    </cacheField>
    <cacheField name="Average Units Sold" numFmtId="0">
      <sharedItems containsString="0" containsBlank="1" containsNumber="1" minValue="272.12727272727273" maxValue="272.12727272727273"/>
    </cacheField>
    <cacheField name="Average Unit Price " numFmtId="0">
      <sharedItems containsString="0" containsBlank="1" containsNumber="1" minValue="36.386363636363633" maxValue="36.386363636363633"/>
    </cacheField>
    <cacheField name="MIN Sales" numFmtId="0">
      <sharedItems containsString="0" containsBlank="1" containsNumber="1" containsInteger="1" minValue="207" maxValue="207"/>
    </cacheField>
    <cacheField name="MAX Sales" numFmtId="0">
      <sharedItems containsString="0" containsBlank="1" containsNumber="1" containsInteger="1" minValue="60300" maxValue="60300"/>
    </cacheField>
    <cacheField name="SUMIF" numFmtId="165">
      <sharedItems containsString="0" containsBlank="1" containsNumber="1" containsInteger="1" minValue="133144" maxValue="133144"/>
    </cacheField>
    <cacheField name="VLOOKUP" numFmtId="0">
      <sharedItems containsBlank="1" containsMixedTypes="1" containsNumber="1" containsInteger="1" minValue="97" maxValue="97"/>
    </cacheField>
    <cacheField name="XLOOKUP" numFmtId="0">
      <sharedItems containsBlank="1" containsMixedTypes="1" containsNumber="1" containsInteger="1" minValue="17" maxValue="17"/>
    </cacheField>
  </cacheFields>
  <extLst>
    <ext xmlns:x14="http://schemas.microsoft.com/office/spreadsheetml/2009/9/main" uri="{725AE2AE-9491-48be-B2B4-4EB974FC3084}">
      <x14:pivotCacheDefinition pivotCacheId="161564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n v="1"/>
    <s v="RX10234"/>
    <x v="0"/>
    <x v="0"/>
    <s v="Endocrinologist"/>
    <x v="0"/>
    <n v="123"/>
    <n v="12"/>
    <d v="2024-01-12T00:00:00"/>
    <n v="1476"/>
    <x v="0"/>
    <s v="Metformin-Anti-Diabetic"/>
    <x v="0"/>
    <n v="1171332"/>
    <n v="272.12727272727273"/>
    <n v="36.386363636363633"/>
    <n v="207"/>
    <n v="60300"/>
    <n v="133144"/>
    <s v="RX16578"/>
    <m/>
  </r>
  <r>
    <n v="2"/>
    <s v="RX18765"/>
    <x v="1"/>
    <x v="1"/>
    <s v="General Physician"/>
    <x v="1"/>
    <n v="287"/>
    <n v="25"/>
    <d v="2024-01-15T00:00:00"/>
    <n v="7175"/>
    <x v="1"/>
    <s v="Azithromycin-Antibiotic"/>
    <x v="1"/>
    <m/>
    <m/>
    <m/>
    <m/>
    <m/>
    <m/>
    <s v="Low"/>
    <m/>
  </r>
  <r>
    <n v="3"/>
    <s v="RX14598"/>
    <x v="2"/>
    <x v="2"/>
    <s v="Cardiologist"/>
    <x v="2"/>
    <n v="54"/>
    <n v="18"/>
    <d v="2024-01-18T00:00:00"/>
    <n v="972"/>
    <x v="2"/>
    <s v="Atorvastatin-Cardiac"/>
    <x v="0"/>
    <m/>
    <m/>
    <m/>
    <m/>
    <m/>
    <m/>
    <s v="Revenue on the basis of Prescription ID)"/>
    <m/>
  </r>
  <r>
    <n v="4"/>
    <s v="RX19876"/>
    <x v="3"/>
    <x v="3"/>
    <s v="General Physician"/>
    <x v="3"/>
    <n v="462"/>
    <n v="17"/>
    <d v="2024-01-20T00:00:00"/>
    <n v="7854"/>
    <x v="0"/>
    <s v="Paracetamol-Analgesic"/>
    <x v="1"/>
    <m/>
    <m/>
    <m/>
    <m/>
    <m/>
    <m/>
    <m/>
    <m/>
  </r>
  <r>
    <n v="5"/>
    <s v="RX17654"/>
    <x v="4"/>
    <x v="4"/>
    <s v="Pulmonologist"/>
    <x v="4"/>
    <n v="198"/>
    <n v="22"/>
    <d v="2024-01-22T00:00:00"/>
    <n v="4356"/>
    <x v="2"/>
    <s v="Salbutamol-Respiratory"/>
    <x v="0"/>
    <m/>
    <m/>
    <m/>
    <m/>
    <m/>
    <m/>
    <m/>
    <s v="RX15432"/>
  </r>
  <r>
    <n v="6"/>
    <s v="RX13245"/>
    <x v="5"/>
    <x v="5"/>
    <s v="Gastroenterologist"/>
    <x v="5"/>
    <n v="315"/>
    <n v="14"/>
    <d v="2024-01-25T00:00:00"/>
    <n v="4410"/>
    <x v="1"/>
    <s v="Pantoprazole-Gastrointestinal"/>
    <x v="0"/>
    <m/>
    <m/>
    <m/>
    <m/>
    <m/>
    <m/>
    <m/>
    <s v="Glimepiride-Anti-Diabetic"/>
  </r>
  <r>
    <n v="7"/>
    <s v="RX16543"/>
    <x v="6"/>
    <x v="6"/>
    <s v="ENT Specialist"/>
    <x v="6"/>
    <n v="401"/>
    <n v="4"/>
    <d v="2024-01-26T00:00:00"/>
    <n v="1604"/>
    <x v="0"/>
    <s v="Cetirizine-Anti-Allergic"/>
    <x v="0"/>
    <m/>
    <m/>
    <m/>
    <m/>
    <m/>
    <m/>
    <m/>
    <s v="(Drug Name &amp;category on the basis of Prescription ID)"/>
  </r>
  <r>
    <n v="8"/>
    <s v="RX15432"/>
    <x v="7"/>
    <x v="0"/>
    <s v="Endocrinologist"/>
    <x v="7"/>
    <n v="256"/>
    <n v="16"/>
    <d v="2024-01-28T00:00:00"/>
    <n v="4096"/>
    <x v="0"/>
    <s v="Glimepiride-Anti-Diabetic"/>
    <x v="0"/>
    <m/>
    <m/>
    <m/>
    <m/>
    <m/>
    <m/>
    <m/>
    <m/>
  </r>
  <r>
    <n v="9"/>
    <s v="RX14321"/>
    <x v="8"/>
    <x v="2"/>
    <s v="Cardiologist"/>
    <x v="8"/>
    <n v="73"/>
    <n v="10"/>
    <d v="2024-01-30T00:00:00"/>
    <n v="730"/>
    <x v="2"/>
    <s v="Amlodipine-Cardiac"/>
    <x v="0"/>
    <m/>
    <m/>
    <m/>
    <m/>
    <m/>
    <m/>
    <m/>
    <s v="Paracetamol"/>
  </r>
  <r>
    <n v="10"/>
    <s v="RX19987"/>
    <x v="9"/>
    <x v="7"/>
    <s v="Neurologist"/>
    <x v="9"/>
    <n v="387"/>
    <n v="45"/>
    <d v="2024-02-02T00:00:00"/>
    <n v="17415"/>
    <x v="1"/>
    <s v="Levetiracetam-Neurology"/>
    <x v="2"/>
    <m/>
    <m/>
    <m/>
    <m/>
    <m/>
    <m/>
    <m/>
    <n v="17"/>
  </r>
  <r>
    <n v="11"/>
    <s v="RX11234"/>
    <x v="10"/>
    <x v="8"/>
    <s v="Dermatologist"/>
    <x v="1"/>
    <n v="142"/>
    <n v="35"/>
    <d v="2024-02-03T00:00:00"/>
    <n v="4970"/>
    <x v="2"/>
    <s v="Fluconazole-Antifungal"/>
    <x v="0"/>
    <m/>
    <m/>
    <m/>
    <m/>
    <m/>
    <m/>
    <m/>
    <s v="(Unit Price on the basis of Drug Name)"/>
  </r>
  <r>
    <n v="12"/>
    <s v="RX16789"/>
    <x v="11"/>
    <x v="4"/>
    <s v="Pulmonologist"/>
    <x v="0"/>
    <n v="499"/>
    <n v="28"/>
    <d v="2024-02-05T00:00:00"/>
    <n v="13972"/>
    <x v="0"/>
    <s v="Montelukast-Respiratory"/>
    <x v="2"/>
    <m/>
    <m/>
    <m/>
    <m/>
    <m/>
    <m/>
    <m/>
    <m/>
  </r>
  <r>
    <n v="13"/>
    <s v="RX17890"/>
    <x v="12"/>
    <x v="9"/>
    <s v="Orthopedician"/>
    <x v="10"/>
    <n v="219"/>
    <n v="22"/>
    <d v="2024-02-06T00:00:00"/>
    <n v="4818"/>
    <x v="1"/>
    <s v="Vitamin D3-Vitamin"/>
    <x v="0"/>
    <m/>
    <m/>
    <m/>
    <m/>
    <m/>
    <m/>
    <m/>
    <m/>
  </r>
  <r>
    <n v="14"/>
    <s v="RX15678"/>
    <x v="13"/>
    <x v="10"/>
    <s v="Gastroenterologist"/>
    <x v="2"/>
    <n v="85"/>
    <n v="11"/>
    <d v="2024-02-08T00:00:00"/>
    <n v="935"/>
    <x v="0"/>
    <s v="Domperidone-Anti-Emetic"/>
    <x v="0"/>
    <m/>
    <m/>
    <m/>
    <m/>
    <m/>
    <m/>
    <s v="Rabeprazole"/>
    <m/>
  </r>
  <r>
    <n v="15"/>
    <s v="RX13456"/>
    <x v="14"/>
    <x v="2"/>
    <s v="Cardiologist"/>
    <x v="11"/>
    <n v="312"/>
    <n v="22"/>
    <d v="2024-02-10T00:00:00"/>
    <n v="6864"/>
    <x v="2"/>
    <s v="Rosuvastatin-Cardiac"/>
    <x v="1"/>
    <m/>
    <m/>
    <m/>
    <m/>
    <m/>
    <m/>
    <n v="97"/>
    <m/>
  </r>
  <r>
    <n v="16"/>
    <s v="RX19823"/>
    <x v="15"/>
    <x v="1"/>
    <s v="Dermatologist"/>
    <x v="4"/>
    <n v="176"/>
    <n v="30"/>
    <d v="2024-02-11T00:00:00"/>
    <n v="5280"/>
    <x v="2"/>
    <s v="Doxycycline-Antibiotic"/>
    <x v="1"/>
    <m/>
    <m/>
    <m/>
    <m/>
    <m/>
    <m/>
    <s v="(Units Sold on the basis of Drug Name)"/>
    <m/>
  </r>
  <r>
    <n v="17"/>
    <s v="RX17632"/>
    <x v="16"/>
    <x v="11"/>
    <s v="Pain Specialist"/>
    <x v="12"/>
    <n v="456"/>
    <n v="40"/>
    <d v="2024-02-13T00:00:00"/>
    <n v="18240"/>
    <x v="1"/>
    <s v="Tramadol-Pain Management"/>
    <x v="2"/>
    <m/>
    <m/>
    <m/>
    <m/>
    <m/>
    <m/>
    <m/>
    <m/>
  </r>
  <r>
    <n v="18"/>
    <s v="RX14329"/>
    <x v="17"/>
    <x v="2"/>
    <s v="Cardiologist"/>
    <x v="13"/>
    <n v="98"/>
    <n v="19"/>
    <d v="2024-02-15T00:00:00"/>
    <n v="1862"/>
    <x v="0"/>
    <s v="Losartan-Cardiac"/>
    <x v="0"/>
    <m/>
    <m/>
    <m/>
    <m/>
    <m/>
    <m/>
    <m/>
    <m/>
  </r>
  <r>
    <n v="19"/>
    <s v="RX18721"/>
    <x v="18"/>
    <x v="0"/>
    <s v="Endocrinologist"/>
    <x v="1"/>
    <n v="231"/>
    <n v="120"/>
    <d v="2024-02-16T00:00:00"/>
    <n v="27720"/>
    <x v="1"/>
    <s v="Insulin Glargine-Anti-Diabetic"/>
    <x v="2"/>
    <m/>
    <m/>
    <m/>
    <m/>
    <m/>
    <m/>
    <m/>
    <m/>
  </r>
  <r>
    <n v="20"/>
    <s v="RX16598"/>
    <x v="19"/>
    <x v="12"/>
    <s v="Psychiatrist"/>
    <x v="0"/>
    <n v="344"/>
    <n v="55"/>
    <d v="2024-02-18T00:00:00"/>
    <n v="18920"/>
    <x v="2"/>
    <s v="Escitalopram-Psychiatry"/>
    <x v="2"/>
    <m/>
    <m/>
    <m/>
    <m/>
    <m/>
    <m/>
    <m/>
    <m/>
  </r>
  <r>
    <n v="21"/>
    <s v="RX10987"/>
    <x v="20"/>
    <x v="1"/>
    <s v="Internal Medicine"/>
    <x v="14"/>
    <n v="187"/>
    <n v="32"/>
    <d v="2024-02-20T00:00:00"/>
    <n v="5984"/>
    <x v="0"/>
    <s v="Ciprofloxacin-Antibiotic"/>
    <x v="1"/>
    <m/>
    <m/>
    <m/>
    <m/>
    <m/>
    <m/>
    <m/>
    <m/>
  </r>
  <r>
    <n v="22"/>
    <s v="RX19854"/>
    <x v="21"/>
    <x v="5"/>
    <s v="Gastroenterologist"/>
    <x v="2"/>
    <n v="278"/>
    <n v="13"/>
    <d v="2024-02-22T00:00:00"/>
    <n v="3614"/>
    <x v="0"/>
    <s v="Omeprazole-Gastrointestinal"/>
    <x v="0"/>
    <m/>
    <m/>
    <m/>
    <m/>
    <m/>
    <m/>
    <m/>
    <m/>
  </r>
  <r>
    <n v="23"/>
    <s v="RX14567"/>
    <x v="22"/>
    <x v="4"/>
    <s v="Pulmonologist"/>
    <x v="15"/>
    <n v="412"/>
    <n v="65"/>
    <d v="2024-02-24T00:00:00"/>
    <n v="26780"/>
    <x v="1"/>
    <s v="Budesonide-Respiratory"/>
    <x v="2"/>
    <m/>
    <m/>
    <m/>
    <m/>
    <m/>
    <m/>
    <m/>
    <m/>
  </r>
  <r>
    <n v="24"/>
    <s v="RX17678"/>
    <x v="23"/>
    <x v="9"/>
    <s v="General Physician"/>
    <x v="16"/>
    <n v="134"/>
    <n v="20"/>
    <d v="2024-02-25T00:00:00"/>
    <n v="2680"/>
    <x v="2"/>
    <s v="Folic Acid-Vitamin"/>
    <x v="0"/>
    <m/>
    <m/>
    <m/>
    <m/>
    <m/>
    <m/>
    <m/>
    <m/>
  </r>
  <r>
    <n v="25"/>
    <s v="RX15489"/>
    <x v="24"/>
    <x v="12"/>
    <s v="Psychiatrist"/>
    <x v="1"/>
    <n v="265"/>
    <n v="48"/>
    <d v="2024-02-27T00:00:00"/>
    <n v="12720"/>
    <x v="0"/>
    <s v="Sertraline-Psychiatry"/>
    <x v="2"/>
    <m/>
    <m/>
    <m/>
    <m/>
    <m/>
    <m/>
    <m/>
    <m/>
  </r>
  <r>
    <n v="26"/>
    <s v="RX13219"/>
    <x v="25"/>
    <x v="2"/>
    <s v="Cardiologist"/>
    <x v="0"/>
    <n v="399"/>
    <n v="20"/>
    <d v="2024-03-01T00:00:00"/>
    <n v="7980"/>
    <x v="1"/>
    <s v="Clopidogrel-Cardiac"/>
    <x v="1"/>
    <m/>
    <m/>
    <m/>
    <m/>
    <m/>
    <m/>
    <m/>
    <m/>
  </r>
  <r>
    <n v="27"/>
    <s v="RX14387"/>
    <x v="26"/>
    <x v="7"/>
    <s v="Neurologist"/>
    <x v="3"/>
    <n v="178"/>
    <n v="38"/>
    <d v="2024-03-03T00:00:00"/>
    <n v="6764"/>
    <x v="2"/>
    <s v="Phenytoin-Neurology"/>
    <x v="1"/>
    <m/>
    <m/>
    <m/>
    <m/>
    <m/>
    <m/>
    <m/>
    <m/>
  </r>
  <r>
    <n v="28"/>
    <s v="RX17690"/>
    <x v="27"/>
    <x v="8"/>
    <s v="Dermatologist"/>
    <x v="2"/>
    <n v="351"/>
    <n v="85"/>
    <d v="2024-03-05T00:00:00"/>
    <n v="29835"/>
    <x v="0"/>
    <s v="Itraconazole-Antifungal"/>
    <x v="2"/>
    <m/>
    <m/>
    <m/>
    <m/>
    <m/>
    <m/>
    <m/>
    <m/>
  </r>
  <r>
    <n v="29"/>
    <s v="RX16578"/>
    <x v="28"/>
    <x v="5"/>
    <s v="Gastroenterologist"/>
    <x v="4"/>
    <n v="97"/>
    <n v="15"/>
    <d v="2024-03-07T00:00:00"/>
    <n v="1455"/>
    <x v="2"/>
    <s v="Rabeprazole-Gastrointestinal"/>
    <x v="0"/>
    <m/>
    <m/>
    <m/>
    <m/>
    <m/>
    <m/>
    <m/>
    <m/>
  </r>
  <r>
    <n v="30"/>
    <s v="RX19876"/>
    <x v="29"/>
    <x v="7"/>
    <s v="Neurologist"/>
    <x v="1"/>
    <n v="223"/>
    <n v="42"/>
    <d v="2024-03-09T00:00:00"/>
    <n v="9366"/>
    <x v="1"/>
    <s v="Gabapentin-Neurology"/>
    <x v="1"/>
    <m/>
    <m/>
    <m/>
    <m/>
    <m/>
    <m/>
    <m/>
    <m/>
  </r>
  <r>
    <n v="31"/>
    <s v="RX13421"/>
    <x v="30"/>
    <x v="13"/>
    <s v="General Physician"/>
    <x v="5"/>
    <n v="486"/>
    <n v="110"/>
    <d v="2024-03-11T00:00:00"/>
    <n v="53460"/>
    <x v="0"/>
    <s v="Oseltamivir-Antiviral"/>
    <x v="2"/>
    <m/>
    <m/>
    <m/>
    <m/>
    <m/>
    <m/>
    <m/>
    <m/>
  </r>
  <r>
    <n v="32"/>
    <s v="RX17854"/>
    <x v="31"/>
    <x v="0"/>
    <s v="Endocrinologist"/>
    <x v="0"/>
    <n v="155"/>
    <n v="26"/>
    <d v="2024-03-13T00:00:00"/>
    <n v="4030"/>
    <x v="0"/>
    <s v="Vildagliptin-Anti-Diabetic"/>
    <x v="0"/>
    <m/>
    <m/>
    <m/>
    <m/>
    <m/>
    <m/>
    <m/>
    <m/>
  </r>
  <r>
    <n v="33"/>
    <s v="RX15632"/>
    <x v="32"/>
    <x v="14"/>
    <s v="Rheumatologist"/>
    <x v="6"/>
    <n v="341"/>
    <n v="18"/>
    <d v="2024-03-15T00:00:00"/>
    <n v="6138"/>
    <x v="2"/>
    <s v="Prednisolone-Steroid"/>
    <x v="1"/>
    <m/>
    <m/>
    <m/>
    <m/>
    <m/>
    <m/>
    <m/>
    <m/>
  </r>
  <r>
    <n v="34"/>
    <s v="RX18745"/>
    <x v="33"/>
    <x v="1"/>
    <s v="Internal Medicine"/>
    <x v="10"/>
    <n v="197"/>
    <n v="28"/>
    <d v="2024-03-17T00:00:00"/>
    <n v="5516"/>
    <x v="1"/>
    <s v="Cefixime-Antibiotic"/>
    <x v="1"/>
    <m/>
    <m/>
    <m/>
    <m/>
    <m/>
    <m/>
    <m/>
    <m/>
  </r>
  <r>
    <n v="35"/>
    <s v="RX16543"/>
    <x v="34"/>
    <x v="3"/>
    <s v="Rheumatologist"/>
    <x v="4"/>
    <n v="268"/>
    <n v="24"/>
    <d v="2024-03-19T00:00:00"/>
    <n v="6432"/>
    <x v="2"/>
    <s v="Naproxen-Analgesic"/>
    <x v="1"/>
    <m/>
    <m/>
    <m/>
    <m/>
    <m/>
    <m/>
    <m/>
    <m/>
  </r>
  <r>
    <n v="36"/>
    <s v="RX10923"/>
    <x v="35"/>
    <x v="11"/>
    <s v="Pain Specialist"/>
    <x v="1"/>
    <n v="402"/>
    <n v="150"/>
    <d v="2024-03-21T00:00:00"/>
    <n v="60300"/>
    <x v="0"/>
    <s v="Morphine-Pain Management"/>
    <x v="2"/>
    <m/>
    <m/>
    <m/>
    <m/>
    <m/>
    <m/>
    <m/>
    <m/>
  </r>
  <r>
    <n v="37"/>
    <s v="RX19811"/>
    <x v="36"/>
    <x v="14"/>
    <s v="Internal Medicine"/>
    <x v="2"/>
    <n v="159"/>
    <n v="30"/>
    <d v="2024-03-23T00:00:00"/>
    <n v="4770"/>
    <x v="1"/>
    <s v="Hydrocortisone-Steroid"/>
    <x v="0"/>
    <m/>
    <m/>
    <m/>
    <m/>
    <m/>
    <m/>
    <m/>
    <m/>
  </r>
  <r>
    <n v="38"/>
    <s v="RX14587"/>
    <x v="37"/>
    <x v="9"/>
    <s v="Orthopedician"/>
    <x v="12"/>
    <n v="315"/>
    <n v="5"/>
    <d v="2024-03-25T00:00:00"/>
    <n v="1575"/>
    <x v="0"/>
    <s v="Calcium Carbonate-Vitamin"/>
    <x v="0"/>
    <m/>
    <m/>
    <m/>
    <m/>
    <m/>
    <m/>
    <m/>
    <m/>
  </r>
  <r>
    <n v="39"/>
    <s v="RX17654"/>
    <x v="38"/>
    <x v="13"/>
    <s v="Dermatologist"/>
    <x v="0"/>
    <n v="94"/>
    <n v="55"/>
    <d v="2024-03-27T00:00:00"/>
    <n v="5170"/>
    <x v="2"/>
    <s v="Acyclovir-Antiviral"/>
    <x v="1"/>
    <m/>
    <m/>
    <m/>
    <m/>
    <m/>
    <m/>
    <m/>
    <m/>
  </r>
  <r>
    <n v="40"/>
    <s v="RX13298"/>
    <x v="39"/>
    <x v="5"/>
    <s v="Gastroenterologist"/>
    <x v="3"/>
    <n v="273"/>
    <n v="8"/>
    <d v="2024-03-29T00:00:00"/>
    <n v="2184"/>
    <x v="0"/>
    <s v="Ranitidine-Gastrointestinal"/>
    <x v="0"/>
    <m/>
    <m/>
    <m/>
    <m/>
    <m/>
    <m/>
    <m/>
    <m/>
  </r>
  <r>
    <n v="41"/>
    <s v="RX15421"/>
    <x v="40"/>
    <x v="2"/>
    <s v="Cardiologist"/>
    <x v="1"/>
    <n v="438"/>
    <n v="19"/>
    <d v="2024-03-30T00:00:00"/>
    <n v="8322"/>
    <x v="1"/>
    <s v="Simvastatin-Cardiac"/>
    <x v="1"/>
    <m/>
    <m/>
    <m/>
    <m/>
    <m/>
    <m/>
    <m/>
    <m/>
  </r>
  <r>
    <n v="42"/>
    <s v="RX16589"/>
    <x v="41"/>
    <x v="0"/>
    <s v="Endocrinologist"/>
    <x v="2"/>
    <n v="116"/>
    <n v="34"/>
    <d v="2024-04-01T00:00:00"/>
    <n v="3944"/>
    <x v="2"/>
    <s v="Sitagliptin-Anti-Diabetic"/>
    <x v="0"/>
    <m/>
    <m/>
    <m/>
    <m/>
    <m/>
    <m/>
    <m/>
    <m/>
  </r>
  <r>
    <n v="43"/>
    <s v="RX17821"/>
    <x v="42"/>
    <x v="14"/>
    <s v="Internal Medicine"/>
    <x v="4"/>
    <n v="254"/>
    <n v="22"/>
    <d v="2024-04-03T00:00:00"/>
    <n v="5588"/>
    <x v="0"/>
    <s v="Dexamethasone-Steroid"/>
    <x v="1"/>
    <m/>
    <m/>
    <m/>
    <m/>
    <m/>
    <m/>
    <m/>
    <m/>
  </r>
  <r>
    <n v="44"/>
    <s v="RX14365"/>
    <x v="43"/>
    <x v="6"/>
    <s v="ENT Specialist"/>
    <x v="6"/>
    <n v="367"/>
    <n v="5"/>
    <d v="2024-04-05T00:00:00"/>
    <n v="1835"/>
    <x v="2"/>
    <s v="Levocetirizine-Anti-Allergic"/>
    <x v="0"/>
    <m/>
    <m/>
    <m/>
    <m/>
    <m/>
    <m/>
    <m/>
    <m/>
  </r>
  <r>
    <n v="45"/>
    <s v="RX19876"/>
    <x v="44"/>
    <x v="4"/>
    <s v="Pulmonologist"/>
    <x v="1"/>
    <n v="143"/>
    <n v="75"/>
    <d v="2024-04-07T00:00:00"/>
    <n v="10725"/>
    <x v="1"/>
    <s v="Tiotropium-Respiratory"/>
    <x v="2"/>
    <m/>
    <m/>
    <m/>
    <m/>
    <m/>
    <m/>
    <m/>
    <m/>
  </r>
  <r>
    <n v="46"/>
    <s v="RX13245"/>
    <x v="45"/>
    <x v="2"/>
    <s v="Cardiologist"/>
    <x v="0"/>
    <n v="294"/>
    <n v="14"/>
    <d v="2024-04-09T00:00:00"/>
    <n v="4116"/>
    <x v="0"/>
    <s v="Bisoprolol-Cardiac"/>
    <x v="0"/>
    <m/>
    <m/>
    <m/>
    <m/>
    <m/>
    <m/>
    <m/>
    <m/>
  </r>
  <r>
    <n v="47"/>
    <s v="RX16578"/>
    <x v="46"/>
    <x v="0"/>
    <s v="Endocrinologist"/>
    <x v="5"/>
    <n v="487"/>
    <n v="95"/>
    <d v="2024-04-11T00:00:00"/>
    <n v="46265"/>
    <x v="0"/>
    <s v="Insulin Aspart-Anti-Diabetic"/>
    <x v="2"/>
    <m/>
    <m/>
    <m/>
    <m/>
    <m/>
    <m/>
    <m/>
    <m/>
  </r>
  <r>
    <n v="48"/>
    <s v="RX18790"/>
    <x v="47"/>
    <x v="12"/>
    <s v="Psychiatrist"/>
    <x v="2"/>
    <n v="175"/>
    <n v="52"/>
    <d v="2024-04-13T00:00:00"/>
    <n v="9100"/>
    <x v="2"/>
    <s v="Fluoxetine-Psychiatry"/>
    <x v="1"/>
    <m/>
    <m/>
    <m/>
    <m/>
    <m/>
    <m/>
    <m/>
    <m/>
  </r>
  <r>
    <n v="49"/>
    <s v="RX15432"/>
    <x v="48"/>
    <x v="3"/>
    <s v="Orthopedician"/>
    <x v="4"/>
    <n v="326"/>
    <n v="6"/>
    <d v="2024-04-15T00:00:00"/>
    <n v="1956"/>
    <x v="1"/>
    <s v="Ibuprofen-Analgesic"/>
    <x v="0"/>
    <m/>
    <m/>
    <m/>
    <m/>
    <m/>
    <m/>
    <m/>
    <m/>
  </r>
  <r>
    <n v="50"/>
    <s v="RX17654"/>
    <x v="49"/>
    <x v="9"/>
    <s v="Hematologist"/>
    <x v="1"/>
    <n v="212"/>
    <n v="180"/>
    <d v="2024-04-17T00:00:00"/>
    <n v="38160"/>
    <x v="2"/>
    <s v="Iron Sucrose-Vitamin"/>
    <x v="2"/>
    <m/>
    <m/>
    <m/>
    <m/>
    <m/>
    <m/>
    <m/>
    <m/>
  </r>
  <r>
    <n v="51"/>
    <s v="RX10987"/>
    <x v="50"/>
    <x v="1"/>
    <s v="Internal Medicine"/>
    <x v="0"/>
    <n v="399"/>
    <n v="90"/>
    <d v="2024-04-19T00:00:00"/>
    <n v="35910"/>
    <x v="0"/>
    <s v="Ceftriaxone-Antibiotic"/>
    <x v="2"/>
    <m/>
    <m/>
    <m/>
    <m/>
    <m/>
    <m/>
    <m/>
    <m/>
  </r>
  <r>
    <n v="52"/>
    <s v="RX14329"/>
    <x v="51"/>
    <x v="2"/>
    <s v="Cardiologist"/>
    <x v="3"/>
    <n v="138"/>
    <n v="16"/>
    <d v="2024-04-21T00:00:00"/>
    <n v="2208"/>
    <x v="1"/>
    <s v="Ramipril-Cardiac"/>
    <x v="0"/>
    <m/>
    <m/>
    <m/>
    <m/>
    <m/>
    <m/>
    <m/>
    <m/>
  </r>
  <r>
    <n v="53"/>
    <s v="RX16598"/>
    <x v="52"/>
    <x v="0"/>
    <s v="Endocrinologist"/>
    <x v="2"/>
    <n v="261"/>
    <n v="22"/>
    <d v="2024-04-23T00:00:00"/>
    <n v="5742"/>
    <x v="0"/>
    <s v="Gliclazide-Anti-Diabetic"/>
    <x v="1"/>
    <m/>
    <m/>
    <m/>
    <m/>
    <m/>
    <m/>
    <m/>
    <m/>
  </r>
  <r>
    <n v="54"/>
    <s v="RX17890"/>
    <x v="53"/>
    <x v="1"/>
    <s v="Dermatologist"/>
    <x v="1"/>
    <n v="412"/>
    <n v="40"/>
    <d v="2024-04-25T00:00:00"/>
    <n v="16480"/>
    <x v="2"/>
    <s v="Clindamycin-Antibiotic"/>
    <x v="2"/>
    <m/>
    <m/>
    <m/>
    <m/>
    <m/>
    <m/>
    <m/>
    <m/>
  </r>
  <r>
    <n v="55"/>
    <s v="RX13219"/>
    <x v="54"/>
    <x v="3"/>
    <s v="Orthopedician"/>
    <x v="4"/>
    <n v="164"/>
    <n v="17"/>
    <d v="2024-04-27T00:00:00"/>
    <n v="2788"/>
    <x v="0"/>
    <s v="Diclofenac-Analgesic"/>
    <x v="0"/>
    <m/>
    <m/>
    <m/>
    <m/>
    <m/>
    <m/>
    <m/>
    <m/>
  </r>
  <r>
    <n v="56"/>
    <s v="RX15489"/>
    <x v="55"/>
    <x v="5"/>
    <s v="Gastroenterologist"/>
    <x v="0"/>
    <n v="283"/>
    <n v="18"/>
    <d v="2024-04-29T00:00:00"/>
    <n v="5094"/>
    <x v="1"/>
    <s v="Esomeprazole-Gastrointestinal"/>
    <x v="1"/>
    <m/>
    <m/>
    <m/>
    <m/>
    <m/>
    <m/>
    <m/>
    <m/>
  </r>
  <r>
    <n v="57"/>
    <s v="RX16543"/>
    <x v="56"/>
    <x v="6"/>
    <s v="ENT Specialist"/>
    <x v="6"/>
    <n v="478"/>
    <n v="12"/>
    <d v="2024-05-01T00:00:00"/>
    <n v="5736"/>
    <x v="2"/>
    <s v="Fexofenadine-Anti-Allergic"/>
    <x v="1"/>
    <m/>
    <m/>
    <m/>
    <m/>
    <m/>
    <m/>
    <m/>
    <m/>
  </r>
  <r>
    <n v="58"/>
    <s v="RX18721"/>
    <x v="57"/>
    <x v="2"/>
    <s v="Cardiologist"/>
    <x v="2"/>
    <n v="102"/>
    <n v="17"/>
    <d v="2024-05-03T00:00:00"/>
    <n v="1734"/>
    <x v="0"/>
    <s v="Telmisartan-Cardiac"/>
    <x v="0"/>
    <m/>
    <m/>
    <m/>
    <m/>
    <m/>
    <m/>
    <m/>
    <m/>
  </r>
  <r>
    <n v="59"/>
    <s v="RX17678"/>
    <x v="58"/>
    <x v="1"/>
    <s v="Gastroenterologist"/>
    <x v="1"/>
    <n v="354"/>
    <n v="20"/>
    <d v="2024-05-05T00:00:00"/>
    <n v="7080"/>
    <x v="2"/>
    <s v="Metronidazole-Antibiotic"/>
    <x v="1"/>
    <m/>
    <m/>
    <m/>
    <m/>
    <m/>
    <m/>
    <m/>
    <m/>
  </r>
  <r>
    <n v="60"/>
    <s v="RX13456"/>
    <x v="59"/>
    <x v="9"/>
    <s v="Neurologist"/>
    <x v="0"/>
    <n v="199"/>
    <n v="24"/>
    <d v="2024-05-07T00:00:00"/>
    <n v="4776"/>
    <x v="1"/>
    <s v="Vitamin B12-Vitamin"/>
    <x v="0"/>
    <m/>
    <m/>
    <m/>
    <m/>
    <m/>
    <m/>
    <m/>
    <m/>
  </r>
  <r>
    <n v="61"/>
    <s v="RX19823"/>
    <x v="7"/>
    <x v="0"/>
    <s v="Endocrinologist"/>
    <x v="4"/>
    <n v="281"/>
    <n v="16"/>
    <d v="2024-05-09T00:00:00"/>
    <n v="4496"/>
    <x v="0"/>
    <s v="Glimepiride-Anti-Diabetic"/>
    <x v="0"/>
    <m/>
    <m/>
    <m/>
    <m/>
    <m/>
    <m/>
    <m/>
    <m/>
  </r>
  <r>
    <n v="62"/>
    <s v="RX17690"/>
    <x v="16"/>
    <x v="11"/>
    <s v="Pain Specialist"/>
    <x v="1"/>
    <n v="466"/>
    <n v="42"/>
    <d v="2024-05-11T00:00:00"/>
    <n v="19572"/>
    <x v="0"/>
    <s v="Tramadol-Pain Management"/>
    <x v="2"/>
    <m/>
    <m/>
    <m/>
    <m/>
    <m/>
    <m/>
    <m/>
    <m/>
  </r>
  <r>
    <n v="63"/>
    <s v="RX14387"/>
    <x v="17"/>
    <x v="2"/>
    <s v="Cardiologist"/>
    <x v="6"/>
    <n v="132"/>
    <n v="10"/>
    <d v="2024-05-13T00:00:00"/>
    <n v="1320"/>
    <x v="2"/>
    <s v="Losartan-Cardiac"/>
    <x v="0"/>
    <m/>
    <m/>
    <m/>
    <m/>
    <m/>
    <m/>
    <m/>
    <m/>
  </r>
  <r>
    <n v="64"/>
    <s v="RX16578"/>
    <x v="13"/>
    <x v="10"/>
    <s v="Gastroenterologist"/>
    <x v="2"/>
    <n v="279"/>
    <n v="11"/>
    <d v="2024-05-15T00:00:00"/>
    <n v="3069"/>
    <x v="1"/>
    <s v="Domperidone-Anti-Emetic"/>
    <x v="0"/>
    <m/>
    <m/>
    <m/>
    <m/>
    <m/>
    <m/>
    <m/>
    <m/>
  </r>
  <r>
    <n v="65"/>
    <s v="RX19811"/>
    <x v="11"/>
    <x v="4"/>
    <s v="Pulmonologist"/>
    <x v="0"/>
    <n v="395"/>
    <n v="28"/>
    <d v="2024-05-17T00:00:00"/>
    <n v="11060"/>
    <x v="2"/>
    <s v="Montelukast-Respiratory"/>
    <x v="2"/>
    <m/>
    <m/>
    <m/>
    <m/>
    <m/>
    <m/>
    <m/>
    <m/>
  </r>
  <r>
    <n v="66"/>
    <s v="RX15421"/>
    <x v="10"/>
    <x v="8"/>
    <s v="Dermatologist"/>
    <x v="1"/>
    <n v="147"/>
    <n v="35"/>
    <d v="2024-05-19T00:00:00"/>
    <n v="5145"/>
    <x v="0"/>
    <s v="Fluconazole-Antifungal"/>
    <x v="1"/>
    <m/>
    <m/>
    <m/>
    <m/>
    <m/>
    <m/>
    <m/>
    <m/>
  </r>
  <r>
    <n v="67"/>
    <s v="RX13298"/>
    <x v="60"/>
    <x v="3"/>
    <s v="Cardiologist"/>
    <x v="4"/>
    <n v="268"/>
    <n v="15"/>
    <d v="2024-05-21T00:00:00"/>
    <n v="4020"/>
    <x v="1"/>
    <s v="Aspirin-Analgesic"/>
    <x v="0"/>
    <m/>
    <m/>
    <m/>
    <m/>
    <m/>
    <m/>
    <m/>
    <m/>
  </r>
  <r>
    <n v="68"/>
    <s v="RX16589"/>
    <x v="30"/>
    <x v="13"/>
    <s v="General Physician"/>
    <x v="2"/>
    <n v="401"/>
    <n v="120"/>
    <d v="2024-05-23T00:00:00"/>
    <n v="48120"/>
    <x v="0"/>
    <s v="Oseltamivir-Antiviral"/>
    <x v="2"/>
    <m/>
    <m/>
    <m/>
    <m/>
    <m/>
    <m/>
    <m/>
    <m/>
  </r>
  <r>
    <n v="69"/>
    <s v="RX17821"/>
    <x v="24"/>
    <x v="12"/>
    <s v="Psychiatrist"/>
    <x v="0"/>
    <n v="183"/>
    <n v="50"/>
    <d v="2024-05-25T00:00:00"/>
    <n v="9150"/>
    <x v="2"/>
    <s v="Sertraline-Psychiatry"/>
    <x v="1"/>
    <m/>
    <m/>
    <m/>
    <m/>
    <m/>
    <m/>
    <m/>
    <m/>
  </r>
  <r>
    <n v="70"/>
    <s v="RX14365"/>
    <x v="33"/>
    <x v="1"/>
    <s v="Internal Medicine"/>
    <x v="1"/>
    <n v="312"/>
    <n v="28"/>
    <d v="2024-05-27T00:00:00"/>
    <n v="8736"/>
    <x v="0"/>
    <s v="Cefixime-Antibiotic"/>
    <x v="1"/>
    <m/>
    <m/>
    <m/>
    <m/>
    <m/>
    <m/>
    <m/>
    <m/>
  </r>
  <r>
    <n v="71"/>
    <s v="RX15432"/>
    <x v="37"/>
    <x v="9"/>
    <s v="Orthopedician"/>
    <x v="6"/>
    <n v="145"/>
    <n v="11"/>
    <d v="2024-05-29T00:00:00"/>
    <n v="1595"/>
    <x v="1"/>
    <s v="Calcium Carbonate-Vitamin"/>
    <x v="0"/>
    <m/>
    <m/>
    <m/>
    <m/>
    <m/>
    <m/>
    <m/>
    <m/>
  </r>
  <r>
    <n v="72"/>
    <s v="RX24109"/>
    <x v="5"/>
    <x v="5"/>
    <s v="Gastroenterologist"/>
    <x v="0"/>
    <n v="276"/>
    <n v="14"/>
    <d v="2024-05-31T00:00:00"/>
    <n v="3864"/>
    <x v="2"/>
    <s v="Pantoprazole-Gastrointestinal"/>
    <x v="0"/>
    <m/>
    <m/>
    <m/>
    <m/>
    <m/>
    <m/>
    <m/>
    <m/>
  </r>
  <r>
    <n v="73"/>
    <s v="RX26871"/>
    <x v="9"/>
    <x v="7"/>
    <s v="Neurologist"/>
    <x v="1"/>
    <n v="431"/>
    <n v="46"/>
    <d v="2024-06-02T00:00:00"/>
    <n v="19826"/>
    <x v="0"/>
    <s v="Levetiracetam-Neurology"/>
    <x v="2"/>
    <m/>
    <m/>
    <m/>
    <m/>
    <m/>
    <m/>
    <m/>
    <m/>
  </r>
  <r>
    <n v="74"/>
    <s v="RX29345"/>
    <x v="61"/>
    <x v="1"/>
    <s v="General Physician"/>
    <x v="16"/>
    <n v="168"/>
    <n v="22"/>
    <d v="2024-06-03T00:00:00"/>
    <n v="3696"/>
    <x v="2"/>
    <s v="Amoxicillin-Antibiotic"/>
    <x v="0"/>
    <m/>
    <m/>
    <m/>
    <m/>
    <m/>
    <m/>
    <m/>
    <m/>
  </r>
  <r>
    <n v="75"/>
    <s v="RX21456"/>
    <x v="44"/>
    <x v="4"/>
    <s v="Pulmonologist"/>
    <x v="2"/>
    <n v="295"/>
    <n v="78"/>
    <d v="2024-06-04T00:00:00"/>
    <n v="23010"/>
    <x v="1"/>
    <s v="Tiotropium-Respiratory"/>
    <x v="2"/>
    <m/>
    <m/>
    <m/>
    <m/>
    <m/>
    <m/>
    <m/>
    <m/>
  </r>
  <r>
    <n v="76"/>
    <s v="RX28764"/>
    <x v="7"/>
    <x v="0"/>
    <s v="Endocrinologist"/>
    <x v="6"/>
    <n v="387"/>
    <n v="17"/>
    <d v="2024-06-05T00:00:00"/>
    <n v="6579"/>
    <x v="0"/>
    <s v="Glimepiride-Anti-Diabetic"/>
    <x v="1"/>
    <m/>
    <m/>
    <m/>
    <m/>
    <m/>
    <m/>
    <m/>
    <m/>
  </r>
  <r>
    <n v="77"/>
    <s v="RX25678"/>
    <x v="21"/>
    <x v="5"/>
    <s v="Gastroenterologist"/>
    <x v="4"/>
    <n v="153"/>
    <n v="13"/>
    <d v="2024-06-06T00:00:00"/>
    <n v="1989"/>
    <x v="0"/>
    <s v="Omeprazole-Gastrointestinal"/>
    <x v="0"/>
    <m/>
    <m/>
    <m/>
    <m/>
    <m/>
    <m/>
    <m/>
    <m/>
  </r>
  <r>
    <n v="78"/>
    <s v="RX29901"/>
    <x v="16"/>
    <x v="11"/>
    <s v="Pain Specialist"/>
    <x v="1"/>
    <n v="328"/>
    <n v="44"/>
    <d v="2024-06-07T00:00:00"/>
    <n v="14432"/>
    <x v="2"/>
    <s v="Tramadol-Pain Management"/>
    <x v="2"/>
    <m/>
    <m/>
    <m/>
    <m/>
    <m/>
    <m/>
    <m/>
    <m/>
  </r>
  <r>
    <n v="79"/>
    <s v="RX22134"/>
    <x v="17"/>
    <x v="2"/>
    <s v="Cardiologist"/>
    <x v="0"/>
    <n v="476"/>
    <n v="10"/>
    <d v="2024-06-08T00:00:00"/>
    <n v="4760"/>
    <x v="1"/>
    <s v="Losartan-Cardiac"/>
    <x v="0"/>
    <m/>
    <m/>
    <m/>
    <m/>
    <m/>
    <m/>
    <m/>
    <m/>
  </r>
  <r>
    <n v="80"/>
    <s v="RX27543"/>
    <x v="56"/>
    <x v="6"/>
    <s v="ENT Specialist"/>
    <x v="12"/>
    <n v="109"/>
    <n v="12"/>
    <d v="2024-06-09T00:00:00"/>
    <n v="1308"/>
    <x v="2"/>
    <s v="Fexofenadine-Anti-Allergic"/>
    <x v="0"/>
    <m/>
    <m/>
    <m/>
    <m/>
    <m/>
    <m/>
    <m/>
    <m/>
  </r>
  <r>
    <n v="81"/>
    <s v="RX26321"/>
    <x v="46"/>
    <x v="0"/>
    <s v="Endocrinologist"/>
    <x v="2"/>
    <n v="287"/>
    <n v="98"/>
    <d v="2024-06-10T00:00:00"/>
    <n v="28126"/>
    <x v="0"/>
    <s v="Insulin Aspart-Anti-Diabetic"/>
    <x v="2"/>
    <m/>
    <m/>
    <m/>
    <m/>
    <m/>
    <m/>
    <m/>
    <m/>
  </r>
  <r>
    <n v="82"/>
    <s v="RX29876"/>
    <x v="50"/>
    <x v="1"/>
    <s v="Internal Medicine"/>
    <x v="10"/>
    <n v="198"/>
    <n v="92"/>
    <d v="2024-06-11T00:00:00"/>
    <n v="18216"/>
    <x v="1"/>
    <s v="Ceftriaxone-Antibiotic"/>
    <x v="2"/>
    <m/>
    <m/>
    <m/>
    <m/>
    <m/>
    <m/>
    <m/>
    <m/>
  </r>
  <r>
    <n v="83"/>
    <s v="RX23498"/>
    <x v="12"/>
    <x v="9"/>
    <s v="Orthopedician"/>
    <x v="3"/>
    <n v="364"/>
    <n v="11"/>
    <d v="2024-06-12T00:00:00"/>
    <n v="4004"/>
    <x v="0"/>
    <s v="Vitamin D3-Vitamin"/>
    <x v="0"/>
    <m/>
    <m/>
    <m/>
    <m/>
    <m/>
    <m/>
    <m/>
    <m/>
  </r>
  <r>
    <n v="84"/>
    <s v="RX27654"/>
    <x v="54"/>
    <x v="3"/>
    <s v="Orthopedician"/>
    <x v="4"/>
    <n v="129"/>
    <n v="7"/>
    <d v="2024-06-13T00:00:00"/>
    <n v="903"/>
    <x v="2"/>
    <s v="Diclofenac-Analgesic"/>
    <x v="0"/>
    <m/>
    <m/>
    <m/>
    <m/>
    <m/>
    <m/>
    <m/>
    <m/>
  </r>
  <r>
    <n v="85"/>
    <s v="RX28910"/>
    <x v="24"/>
    <x v="12"/>
    <s v="Psychiatrist"/>
    <x v="1"/>
    <n v="301"/>
    <n v="52"/>
    <d v="2024-06-14T00:00:00"/>
    <n v="15652"/>
    <x v="0"/>
    <s v="Sertraline-Psychiatry"/>
    <x v="2"/>
    <m/>
    <m/>
    <m/>
    <m/>
    <m/>
    <m/>
    <m/>
    <m/>
  </r>
  <r>
    <n v="86"/>
    <s v="RX24567"/>
    <x v="22"/>
    <x v="4"/>
    <s v="Pulmonologist"/>
    <x v="15"/>
    <n v="415"/>
    <n v="68"/>
    <d v="2024-06-15T00:00:00"/>
    <n v="28220"/>
    <x v="1"/>
    <s v="Budesonide-Respiratory"/>
    <x v="2"/>
    <m/>
    <m/>
    <m/>
    <m/>
    <m/>
    <m/>
    <m/>
    <m/>
  </r>
  <r>
    <n v="87"/>
    <s v="RX23198"/>
    <x v="51"/>
    <x v="2"/>
    <s v="Cardiologist"/>
    <x v="6"/>
    <n v="172"/>
    <n v="15"/>
    <d v="2024-06-16T00:00:00"/>
    <n v="2580"/>
    <x v="2"/>
    <s v="Ramipril-Cardiac"/>
    <x v="0"/>
    <m/>
    <m/>
    <m/>
    <m/>
    <m/>
    <m/>
    <m/>
    <m/>
  </r>
  <r>
    <n v="88"/>
    <s v="RX26789"/>
    <x v="10"/>
    <x v="8"/>
    <s v="Dermatologist"/>
    <x v="0"/>
    <n v="249"/>
    <n v="36"/>
    <d v="2024-06-17T00:00:00"/>
    <n v="8964"/>
    <x v="0"/>
    <s v="Fluconazole-Antifungal"/>
    <x v="1"/>
    <m/>
    <m/>
    <m/>
    <m/>
    <m/>
    <m/>
    <m/>
    <m/>
  </r>
  <r>
    <n v="89"/>
    <s v="RX29456"/>
    <x v="52"/>
    <x v="0"/>
    <s v="Endocrinologist"/>
    <x v="5"/>
    <n v="392"/>
    <n v="21"/>
    <d v="2024-06-18T00:00:00"/>
    <n v="8232"/>
    <x v="2"/>
    <s v="Gliclazide-Anti-Diabetic"/>
    <x v="1"/>
    <m/>
    <m/>
    <m/>
    <m/>
    <m/>
    <m/>
    <m/>
    <m/>
  </r>
  <r>
    <n v="90"/>
    <s v="RX25890"/>
    <x v="1"/>
    <x v="1"/>
    <s v="General Physician"/>
    <x v="1"/>
    <n v="114"/>
    <n v="26"/>
    <d v="2024-06-19T00:00:00"/>
    <n v="2964"/>
    <x v="1"/>
    <s v="Azithromycin-Antibiotic"/>
    <x v="0"/>
    <m/>
    <m/>
    <m/>
    <m/>
    <m/>
    <m/>
    <m/>
    <m/>
  </r>
  <r>
    <n v="91"/>
    <s v="RX21234"/>
    <x v="37"/>
    <x v="9"/>
    <s v="Orthopedician"/>
    <x v="16"/>
    <n v="263"/>
    <n v="13"/>
    <d v="2024-06-20T00:00:00"/>
    <n v="3419"/>
    <x v="0"/>
    <s v="Calcium Carbonate-Vitamin"/>
    <x v="0"/>
    <m/>
    <m/>
    <m/>
    <m/>
    <m/>
    <m/>
    <m/>
    <m/>
  </r>
  <r>
    <n v="92"/>
    <s v="RX27901"/>
    <x v="26"/>
    <x v="7"/>
    <s v="Neurologist"/>
    <x v="2"/>
    <n v="347"/>
    <n v="39"/>
    <d v="2024-06-21T00:00:00"/>
    <n v="13533"/>
    <x v="1"/>
    <s v="Phenytoin-Neurology"/>
    <x v="2"/>
    <m/>
    <m/>
    <m/>
    <m/>
    <m/>
    <m/>
    <m/>
    <m/>
  </r>
  <r>
    <n v="93"/>
    <s v="RX26654"/>
    <x v="6"/>
    <x v="6"/>
    <s v="ENT Specialist"/>
    <x v="9"/>
    <n v="155"/>
    <n v="5"/>
    <d v="2024-06-22T00:00:00"/>
    <n v="775"/>
    <x v="2"/>
    <s v="Cetirizine-Anti-Allergic"/>
    <x v="0"/>
    <m/>
    <m/>
    <m/>
    <m/>
    <m/>
    <m/>
    <m/>
    <m/>
  </r>
  <r>
    <n v="94"/>
    <s v="RX28876"/>
    <x v="25"/>
    <x v="2"/>
    <s v="Cardiologist"/>
    <x v="0"/>
    <n v="312"/>
    <n v="21"/>
    <d v="2024-06-23T00:00:00"/>
    <n v="6552"/>
    <x v="0"/>
    <s v="Clopidogrel-Cardiac"/>
    <x v="1"/>
    <m/>
    <m/>
    <m/>
    <m/>
    <m/>
    <m/>
    <m/>
    <m/>
  </r>
  <r>
    <n v="95"/>
    <s v="RX25432"/>
    <x v="27"/>
    <x v="8"/>
    <s v="Dermatologist"/>
    <x v="1"/>
    <n v="419"/>
    <n v="88"/>
    <d v="2024-06-24T00:00:00"/>
    <n v="36872"/>
    <x v="2"/>
    <s v="Itraconazole-Antifungal"/>
    <x v="2"/>
    <m/>
    <m/>
    <m/>
    <m/>
    <m/>
    <m/>
    <m/>
    <m/>
  </r>
  <r>
    <n v="96"/>
    <s v="RX29765"/>
    <x v="23"/>
    <x v="9"/>
    <s v="General Physician"/>
    <x v="14"/>
    <n v="138"/>
    <n v="1.5"/>
    <d v="2024-06-25T00:00:00"/>
    <n v="207"/>
    <x v="1"/>
    <s v="Folic Acid-Vitamin"/>
    <x v="0"/>
    <m/>
    <m/>
    <m/>
    <m/>
    <m/>
    <m/>
    <m/>
    <m/>
  </r>
  <r>
    <n v="97"/>
    <s v="RX23543"/>
    <x v="58"/>
    <x v="1"/>
    <s v="Gastroenterologist"/>
    <x v="2"/>
    <n v="254"/>
    <n v="19"/>
    <d v="2024-06-26T00:00:00"/>
    <n v="4826"/>
    <x v="0"/>
    <s v="Metronidazole-Antibiotic"/>
    <x v="0"/>
    <m/>
    <m/>
    <m/>
    <m/>
    <m/>
    <m/>
    <m/>
    <m/>
  </r>
  <r>
    <n v="98"/>
    <s v="RX27198"/>
    <x v="11"/>
    <x v="4"/>
    <s v="Pulmonologist"/>
    <x v="4"/>
    <n v="385"/>
    <n v="29"/>
    <d v="2024-06-27T00:00:00"/>
    <n v="11165"/>
    <x v="0"/>
    <s v="Montelukast-Respiratory"/>
    <x v="2"/>
    <m/>
    <m/>
    <m/>
    <m/>
    <m/>
    <m/>
    <m/>
    <m/>
  </r>
  <r>
    <n v="99"/>
    <s v="RX24987"/>
    <x v="19"/>
    <x v="12"/>
    <s v="Psychiatrist"/>
    <x v="0"/>
    <n v="197"/>
    <n v="57"/>
    <d v="2024-06-28T00:00:00"/>
    <n v="11229"/>
    <x v="2"/>
    <s v="Escitalopram-Psychiatry"/>
    <x v="2"/>
    <m/>
    <m/>
    <m/>
    <m/>
    <m/>
    <m/>
    <m/>
    <m/>
  </r>
  <r>
    <n v="100"/>
    <s v="RX28456"/>
    <x v="34"/>
    <x v="3"/>
    <s v="Rheumatologist"/>
    <x v="6"/>
    <n v="328"/>
    <n v="25"/>
    <d v="2024-06-29T00:00:00"/>
    <n v="8200"/>
    <x v="1"/>
    <s v="Naproxen-Analgesic"/>
    <x v="1"/>
    <m/>
    <m/>
    <m/>
    <m/>
    <m/>
    <m/>
    <m/>
    <m/>
  </r>
  <r>
    <n v="101"/>
    <s v="RX23678"/>
    <x v="38"/>
    <x v="13"/>
    <s v="Dermatologist"/>
    <x v="1"/>
    <n v="461"/>
    <n v="56"/>
    <d v="2024-06-30T00:00:00"/>
    <n v="25816"/>
    <x v="2"/>
    <s v="Acyclovir-Antiviral"/>
    <x v="2"/>
    <m/>
    <m/>
    <m/>
    <m/>
    <m/>
    <m/>
    <m/>
    <m/>
  </r>
  <r>
    <n v="102"/>
    <s v="RX29812"/>
    <x v="45"/>
    <x v="2"/>
    <s v="Cardiologist"/>
    <x v="5"/>
    <n v="143"/>
    <n v="14"/>
    <d v="2024-07-01T00:00:00"/>
    <n v="2002"/>
    <x v="0"/>
    <s v="Bisoprolol-Cardiac"/>
    <x v="0"/>
    <m/>
    <m/>
    <m/>
    <m/>
    <m/>
    <m/>
    <m/>
    <m/>
  </r>
  <r>
    <n v="103"/>
    <s v="RX25109"/>
    <x v="49"/>
    <x v="9"/>
    <s v="Hematologist"/>
    <x v="2"/>
    <n v="276"/>
    <n v="185"/>
    <d v="2024-07-02T00:00:00"/>
    <n v="51060"/>
    <x v="1"/>
    <s v="Iron Sucrose-Vitamin"/>
    <x v="2"/>
    <m/>
    <m/>
    <m/>
    <m/>
    <m/>
    <m/>
    <m/>
    <m/>
  </r>
  <r>
    <n v="104"/>
    <s v="RX26987"/>
    <x v="33"/>
    <x v="1"/>
    <s v="Internal Medicine"/>
    <x v="3"/>
    <n v="389"/>
    <n v="29"/>
    <d v="2024-07-03T00:00:00"/>
    <n v="11281"/>
    <x v="0"/>
    <s v="Cefixime-Antibiotic"/>
    <x v="2"/>
    <m/>
    <m/>
    <m/>
    <m/>
    <m/>
    <m/>
    <m/>
    <m/>
  </r>
  <r>
    <n v="105"/>
    <s v="RX22345"/>
    <x v="0"/>
    <x v="0"/>
    <s v="Endocrinologist"/>
    <x v="0"/>
    <n v="116"/>
    <n v="12"/>
    <d v="2024-07-04T00:00:00"/>
    <n v="1392"/>
    <x v="2"/>
    <s v="Metformin-Anti-Diabetic"/>
    <x v="0"/>
    <m/>
    <m/>
    <m/>
    <m/>
    <m/>
    <m/>
    <m/>
    <m/>
  </r>
  <r>
    <n v="106"/>
    <s v="RX29567"/>
    <x v="4"/>
    <x v="4"/>
    <s v="Pulmonologist"/>
    <x v="1"/>
    <n v="271"/>
    <n v="23"/>
    <d v="2024-07-05T00:00:00"/>
    <n v="6233"/>
    <x v="2"/>
    <s v="Salbutamol-Respiratory"/>
    <x v="1"/>
    <m/>
    <m/>
    <m/>
    <m/>
    <m/>
    <m/>
    <m/>
    <m/>
  </r>
  <r>
    <n v="107"/>
    <s v="RX24876"/>
    <x v="3"/>
    <x v="3"/>
    <s v="General Physician"/>
    <x v="4"/>
    <n v="432"/>
    <n v="10"/>
    <d v="2024-07-06T00:00:00"/>
    <n v="4320"/>
    <x v="1"/>
    <s v="Paracetamol-Analgesic"/>
    <x v="0"/>
    <m/>
    <m/>
    <m/>
    <m/>
    <m/>
    <m/>
    <m/>
    <m/>
  </r>
  <r>
    <n v="108"/>
    <s v="RX28123"/>
    <x v="30"/>
    <x v="13"/>
    <s v="General Physician"/>
    <x v="2"/>
    <n v="161"/>
    <n v="125"/>
    <d v="2024-07-07T00:00:00"/>
    <n v="20125"/>
    <x v="0"/>
    <s v="Oseltamivir-Antiviral"/>
    <x v="2"/>
    <m/>
    <m/>
    <m/>
    <m/>
    <m/>
    <m/>
    <m/>
    <m/>
  </r>
  <r>
    <n v="109"/>
    <s v="RX25998"/>
    <x v="43"/>
    <x v="6"/>
    <s v="ENT Specialist"/>
    <x v="6"/>
    <n v="298"/>
    <n v="5"/>
    <d v="2024-07-08T00:00:00"/>
    <n v="1490"/>
    <x v="1"/>
    <s v="Levocetirizine-Anti-Allergic"/>
    <x v="0"/>
    <m/>
    <m/>
    <m/>
    <m/>
    <m/>
    <m/>
    <m/>
    <m/>
  </r>
  <r>
    <n v="110"/>
    <s v="RX29210"/>
    <x v="42"/>
    <x v="14"/>
    <s v="Internal Medicine"/>
    <x v="1"/>
    <n v="402"/>
    <n v="23"/>
    <d v="2024-07-09T00:00:00"/>
    <n v="9246"/>
    <x v="2"/>
    <s v="Dexamethasone-Steroid"/>
    <x v="1"/>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87EF4F-E388-4090-AA48-38519768A714}" name="PivotTable18"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20:I124" firstHeaderRow="1" firstDataRow="1" firstDataCol="1"/>
  <pivotFields count="21">
    <pivotField showAll="0"/>
    <pivotField showAll="0"/>
    <pivotField showAll="0">
      <items count="63">
        <item x="38"/>
        <item x="8"/>
        <item x="61"/>
        <item x="60"/>
        <item x="2"/>
        <item x="1"/>
        <item x="45"/>
        <item x="22"/>
        <item x="37"/>
        <item x="33"/>
        <item x="50"/>
        <item x="6"/>
        <item x="20"/>
        <item x="53"/>
        <item x="25"/>
        <item x="42"/>
        <item x="54"/>
        <item x="13"/>
        <item x="15"/>
        <item x="19"/>
        <item x="55"/>
        <item x="56"/>
        <item x="10"/>
        <item x="47"/>
        <item x="23"/>
        <item x="29"/>
        <item x="52"/>
        <item x="7"/>
        <item x="36"/>
        <item x="48"/>
        <item x="46"/>
        <item x="18"/>
        <item x="49"/>
        <item x="27"/>
        <item x="9"/>
        <item x="43"/>
        <item x="17"/>
        <item x="0"/>
        <item x="58"/>
        <item x="11"/>
        <item x="35"/>
        <item x="34"/>
        <item x="21"/>
        <item x="30"/>
        <item x="5"/>
        <item x="3"/>
        <item x="26"/>
        <item x="32"/>
        <item x="28"/>
        <item x="51"/>
        <item x="39"/>
        <item x="14"/>
        <item x="4"/>
        <item x="24"/>
        <item x="40"/>
        <item x="41"/>
        <item x="57"/>
        <item x="44"/>
        <item x="16"/>
        <item x="31"/>
        <item x="59"/>
        <item x="12"/>
        <item t="default"/>
      </items>
    </pivotField>
    <pivotField showAll="0">
      <items count="16">
        <item x="3"/>
        <item x="6"/>
        <item x="1"/>
        <item x="0"/>
        <item x="10"/>
        <item x="8"/>
        <item x="13"/>
        <item x="2"/>
        <item x="5"/>
        <item x="7"/>
        <item x="11"/>
        <item x="12"/>
        <item x="4"/>
        <item x="14"/>
        <item x="9"/>
        <item t="default"/>
      </items>
    </pivotField>
    <pivotField showAll="0"/>
    <pivotField showAll="0">
      <items count="18">
        <item x="11"/>
        <item x="0"/>
        <item x="9"/>
        <item x="12"/>
        <item x="5"/>
        <item x="1"/>
        <item x="7"/>
        <item x="8"/>
        <item x="10"/>
        <item x="6"/>
        <item x="13"/>
        <item x="14"/>
        <item x="15"/>
        <item x="3"/>
        <item x="2"/>
        <item x="16"/>
        <item x="4"/>
        <item t="default"/>
      </items>
    </pivotField>
    <pivotField showAll="0"/>
    <pivotField numFmtId="165" showAll="0"/>
    <pivotField numFmtId="14" showAll="0"/>
    <pivotField dataField="1" numFmtId="165"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Total Sales (₹)"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3EAA03-66D1-4D38-866A-D9FDDEE9C572}" name="PivotTable17"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0:F138" firstHeaderRow="0" firstDataRow="1" firstDataCol="1"/>
  <pivotFields count="21">
    <pivotField showAll="0"/>
    <pivotField showAll="0"/>
    <pivotField showAll="0"/>
    <pivotField showAll="0"/>
    <pivotField showAll="0"/>
    <pivotField axis="axisRow" showAll="0">
      <items count="18">
        <item x="11"/>
        <item x="0"/>
        <item x="9"/>
        <item x="12"/>
        <item x="5"/>
        <item x="1"/>
        <item x="7"/>
        <item x="8"/>
        <item x="10"/>
        <item x="6"/>
        <item x="13"/>
        <item x="14"/>
        <item x="15"/>
        <item x="3"/>
        <item x="2"/>
        <item x="16"/>
        <item x="4"/>
        <item t="default"/>
      </items>
    </pivotField>
    <pivotField dataField="1" showAll="0"/>
    <pivotField numFmtId="165" showAll="0"/>
    <pivotField numFmtId="14" showAll="0"/>
    <pivotField dataField="1" numFmtId="165"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Units Sold" fld="6" baseField="0" baseItem="0"/>
    <dataField name="Sum of Total Sales (₹)"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8FCD98-DDC8-45AD-9198-2577944271EE}" name="PivotTable16"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0:B138" firstHeaderRow="1" firstDataRow="1" firstDataCol="1"/>
  <pivotFields count="21">
    <pivotField showAll="0"/>
    <pivotField showAll="0"/>
    <pivotField showAll="0"/>
    <pivotField showAll="0"/>
    <pivotField showAll="0"/>
    <pivotField axis="axisRow" showAll="0">
      <items count="18">
        <item x="11"/>
        <item x="0"/>
        <item x="9"/>
        <item x="12"/>
        <item x="5"/>
        <item x="1"/>
        <item x="7"/>
        <item x="8"/>
        <item x="10"/>
        <item x="6"/>
        <item x="13"/>
        <item x="14"/>
        <item x="15"/>
        <item x="3"/>
        <item x="2"/>
        <item x="16"/>
        <item x="4"/>
        <item t="default"/>
      </items>
    </pivotField>
    <pivotField showAll="0"/>
    <pivotField numFmtId="165" showAll="0"/>
    <pivotField numFmtId="14" showAll="0"/>
    <pivotField dataField="1" numFmtId="165"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Sum of Total Sales (₹)"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F5A339-0385-4F65-B59E-01FB718F0BCE}" name="PivotTable23"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66:C70" firstHeaderRow="1" firstDataRow="1" firstDataCol="1"/>
  <pivotFields count="21">
    <pivotField showAll="0"/>
    <pivotField showAll="0"/>
    <pivotField showAll="0">
      <items count="63">
        <item x="38"/>
        <item x="8"/>
        <item x="61"/>
        <item x="60"/>
        <item x="2"/>
        <item x="1"/>
        <item x="45"/>
        <item x="22"/>
        <item x="37"/>
        <item x="33"/>
        <item x="50"/>
        <item x="6"/>
        <item x="20"/>
        <item x="53"/>
        <item x="25"/>
        <item x="42"/>
        <item x="54"/>
        <item x="13"/>
        <item x="15"/>
        <item x="19"/>
        <item x="55"/>
        <item x="56"/>
        <item x="10"/>
        <item x="47"/>
        <item x="23"/>
        <item x="29"/>
        <item x="52"/>
        <item x="7"/>
        <item x="36"/>
        <item x="48"/>
        <item x="46"/>
        <item x="18"/>
        <item x="49"/>
        <item x="27"/>
        <item x="9"/>
        <item x="43"/>
        <item x="17"/>
        <item x="0"/>
        <item x="58"/>
        <item x="11"/>
        <item x="35"/>
        <item x="34"/>
        <item x="21"/>
        <item x="30"/>
        <item x="5"/>
        <item x="3"/>
        <item x="26"/>
        <item x="32"/>
        <item x="28"/>
        <item x="51"/>
        <item x="39"/>
        <item x="14"/>
        <item x="4"/>
        <item x="24"/>
        <item x="40"/>
        <item x="41"/>
        <item x="57"/>
        <item x="44"/>
        <item x="16"/>
        <item x="31"/>
        <item x="59"/>
        <item x="12"/>
        <item t="default"/>
      </items>
    </pivotField>
    <pivotField showAll="0"/>
    <pivotField showAll="0"/>
    <pivotField showAll="0"/>
    <pivotField showAll="0"/>
    <pivotField numFmtId="165" showAll="0"/>
    <pivotField numFmtId="14" showAll="0"/>
    <pivotField dataField="1" numFmtId="165"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Total Sales (₹)" fld="9" baseField="0" baseItem="0" numFmtId="165"/>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FBCBEA-72AD-4588-AAD1-141945AA5272}" name="PivotTable22"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4:C62" firstHeaderRow="1" firstDataRow="1" firstDataCol="1"/>
  <pivotFields count="21">
    <pivotField showAll="0"/>
    <pivotField showAll="0"/>
    <pivotField showAll="0"/>
    <pivotField showAll="0"/>
    <pivotField showAll="0"/>
    <pivotField axis="axisRow" showAll="0">
      <items count="18">
        <item x="11"/>
        <item x="0"/>
        <item x="9"/>
        <item x="12"/>
        <item x="5"/>
        <item x="1"/>
        <item x="7"/>
        <item x="8"/>
        <item x="10"/>
        <item x="6"/>
        <item x="13"/>
        <item x="14"/>
        <item x="15"/>
        <item x="3"/>
        <item x="2"/>
        <item x="16"/>
        <item x="4"/>
        <item t="default"/>
      </items>
    </pivotField>
    <pivotField showAll="0"/>
    <pivotField numFmtId="165" showAll="0"/>
    <pivotField numFmtId="14" showAll="0"/>
    <pivotField dataField="1" numFmtId="165"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Sum of Total Sales (₹)" fld="9" baseField="0" baseItem="0" numFmtId="165"/>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1ED65D-9DD6-41FC-8A3B-C43FE114A337}" name="PivotTable21"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4:C40" firstHeaderRow="1" firstDataRow="1" firstDataCol="1"/>
  <pivotFields count="21">
    <pivotField showAll="0"/>
    <pivotField showAll="0"/>
    <pivotField showAll="0">
      <items count="63">
        <item x="38"/>
        <item x="8"/>
        <item x="61"/>
        <item x="60"/>
        <item x="2"/>
        <item x="1"/>
        <item x="45"/>
        <item x="22"/>
        <item x="37"/>
        <item x="33"/>
        <item x="50"/>
        <item x="6"/>
        <item x="20"/>
        <item x="53"/>
        <item x="25"/>
        <item x="42"/>
        <item x="54"/>
        <item x="13"/>
        <item x="15"/>
        <item x="19"/>
        <item x="55"/>
        <item x="56"/>
        <item x="10"/>
        <item x="47"/>
        <item x="23"/>
        <item x="29"/>
        <item x="52"/>
        <item x="7"/>
        <item x="36"/>
        <item x="48"/>
        <item x="46"/>
        <item x="18"/>
        <item x="49"/>
        <item x="27"/>
        <item x="9"/>
        <item x="43"/>
        <item x="17"/>
        <item x="0"/>
        <item x="58"/>
        <item x="11"/>
        <item x="35"/>
        <item x="34"/>
        <item x="21"/>
        <item x="30"/>
        <item x="5"/>
        <item x="3"/>
        <item x="26"/>
        <item x="32"/>
        <item x="28"/>
        <item x="51"/>
        <item x="39"/>
        <item x="14"/>
        <item x="4"/>
        <item x="24"/>
        <item x="40"/>
        <item x="41"/>
        <item x="57"/>
        <item x="44"/>
        <item x="16"/>
        <item x="31"/>
        <item x="59"/>
        <item x="12"/>
        <item t="default"/>
      </items>
    </pivotField>
    <pivotField axis="axisRow" showAll="0">
      <items count="16">
        <item x="3"/>
        <item x="6"/>
        <item x="1"/>
        <item x="0"/>
        <item x="10"/>
        <item x="8"/>
        <item x="13"/>
        <item x="2"/>
        <item x="5"/>
        <item x="7"/>
        <item x="11"/>
        <item x="12"/>
        <item x="4"/>
        <item x="14"/>
        <item x="9"/>
        <item t="default"/>
      </items>
    </pivotField>
    <pivotField showAll="0"/>
    <pivotField showAll="0"/>
    <pivotField showAll="0"/>
    <pivotField numFmtId="165" showAll="0"/>
    <pivotField numFmtId="14" showAll="0"/>
    <pivotField dataField="1" numFmtId="165"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Total Sales (₹)" fld="9" baseField="0" baseItem="0" numFmtId="16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151408-3A3C-4EF1-ACD0-BFAA5D2C6F09}" name="PivotTable20"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C19" firstHeaderRow="1" firstDataRow="1" firstDataCol="1"/>
  <pivotFields count="21">
    <pivotField showAll="0"/>
    <pivotField showAll="0"/>
    <pivotField showAll="0"/>
    <pivotField axis="axisRow" showAll="0">
      <items count="16">
        <item x="3"/>
        <item x="6"/>
        <item x="1"/>
        <item x="0"/>
        <item x="10"/>
        <item x="8"/>
        <item x="13"/>
        <item x="2"/>
        <item x="5"/>
        <item x="7"/>
        <item x="11"/>
        <item x="12"/>
        <item x="4"/>
        <item x="14"/>
        <item x="9"/>
        <item t="default"/>
      </items>
    </pivotField>
    <pivotField showAll="0"/>
    <pivotField showAll="0"/>
    <pivotField dataField="1" showAll="0"/>
    <pivotField numFmtId="165" showAll="0"/>
    <pivotField numFmtId="14" showAll="0"/>
    <pivotField numFmtId="165"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Units Sold"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8D58BC4-8693-4E30-9C89-C97B8D794B86}" sourceName="Payment Mode">
  <pivotTables>
    <pivotTable tabId="1" name="PivotTable18"/>
  </pivotTables>
  <data>
    <tabular pivotCacheId="16156419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47F020F-36B4-4CA3-B8B0-4868D3E082E5}" sourceName="City">
  <pivotTables>
    <pivotTable tabId="1" name="PivotTable16"/>
  </pivotTables>
  <data>
    <tabular pivotCacheId="161564196">
      <items count="17">
        <i x="11" s="1"/>
        <i x="0" s="1"/>
        <i x="9" s="1"/>
        <i x="12" s="1"/>
        <i x="5" s="1"/>
        <i x="1" s="1"/>
        <i x="7" s="1"/>
        <i x="8" s="1"/>
        <i x="10" s="1"/>
        <i x="6" s="1"/>
        <i x="13" s="1"/>
        <i x="14" s="1"/>
        <i x="15" s="1"/>
        <i x="3" s="1"/>
        <i x="2" s="1"/>
        <i x="1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A8C53970-2DAB-4924-AB00-7CBB26284694}" cache="Slicer_Payment_Mode" caption="Payment Mode" rowHeight="234950"/>
  <slicer name="City" xr10:uid="{36A784E1-D98C-4C53-AE5F-BAB229E57706}"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B5C37C-F0BA-4FB6-A45D-8D241A095201}" name="Table1" displayName="Table1" ref="B3:X117" totalsRowCount="1" headerRowDxfId="17">
  <autoFilter ref="B3:X116" xr:uid="{D2B5C37C-F0BA-4FB6-A45D-8D241A095201}"/>
  <tableColumns count="23">
    <tableColumn id="1" xr3:uid="{38543FC1-0F16-47B2-8AF9-C46381ACF6CC}" name="Prescription ID" totalsRowLabel="Sheet1!$A$3:$U$113"/>
    <tableColumn id="2" xr3:uid="{BCA91D9C-E1A3-44B1-A6BA-7A8851A01361}" name="Drug Name"/>
    <tableColumn id="3" xr3:uid="{4A2A03DC-E10B-49F0-B0D3-6D4EE500FF68}" name="Drug Category"/>
    <tableColumn id="4" xr3:uid="{B8F44D12-0632-407F-AB19-5483944F4C8D}" name="Doctor Specialty"/>
    <tableColumn id="5" xr3:uid="{9A9EB3E2-B2CD-4ABA-BFCC-3E3513B2D275}" name="City"/>
    <tableColumn id="6" xr3:uid="{F530A563-8FBB-4D07-B735-BED34C7A88A1}" name="Units Sold"/>
    <tableColumn id="7" xr3:uid="{EBEE8F3B-CB09-4FCB-858F-1BBEA0B9B857}" name="Unit Price (₹)" dataDxfId="16"/>
    <tableColumn id="8" xr3:uid="{4235122E-3A89-4C5A-AD1E-A3FC0D7A900C}" name="Prescription Date" dataDxfId="15" totalsRowDxfId="2"/>
    <tableColumn id="9" xr3:uid="{6B606432-A132-4CD8-BCC3-3FB106932F98}" name="Total Sales (₹)" dataDxfId="14" totalsRowDxfId="1">
      <calculatedColumnFormula>H4*G4</calculatedColumnFormula>
    </tableColumn>
    <tableColumn id="10" xr3:uid="{69007573-BCC6-4D5A-B027-7B768137A8BE}" name="Payment Mode" dataDxfId="13">
      <calculatedColumnFormula>RIGHT(B4,5)</calculatedColumnFormula>
    </tableColumn>
    <tableColumn id="11" xr3:uid="{0127B9E8-5941-4C85-9EB6-9D0D32B01A6F}" name="Drug Name - Drug Category" dataDxfId="12">
      <calculatedColumnFormula>_xlfn.CONCAT(C4,"-",D4)</calculatedColumnFormula>
    </tableColumn>
    <tableColumn id="12" xr3:uid="{54018D52-8741-4A92-8817-5865C0A314D2}" name="Revenue(IF)" dataDxfId="11" totalsRowDxfId="0">
      <calculatedColumnFormula>IF(J4&gt;=10000, "High", IF(J4&gt;=5000,"Medium","Low"))</calculatedColumnFormula>
    </tableColumn>
    <tableColumn id="18" xr3:uid="{B2119366-251D-492E-B69F-C66F8338E483}" name="Sum" dataDxfId="10">
      <calculatedColumnFormula>SUM(J4:J113)</calculatedColumnFormula>
    </tableColumn>
    <tableColumn id="19" xr3:uid="{9DB23D47-2F3A-4B94-A1E9-C4F67321A000}" name="Average Units Sold"/>
    <tableColumn id="20" xr3:uid="{C74785E6-50BC-4C6A-946B-E76E11E4DEE0}" name="Average Unit Price "/>
    <tableColumn id="21" xr3:uid="{BEFA2CC2-1371-47D1-9B91-861F008F13B7}" name="MIN Sales"/>
    <tableColumn id="22" xr3:uid="{1A6CD2E0-6015-4633-AE45-FF79C911D2BF}" name="MAX Sales"/>
    <tableColumn id="23" xr3:uid="{2BB5B5F6-ABE8-4C36-B4E1-76024957A339}" name="SUMIF" dataDxfId="5">
      <calculatedColumnFormula>SUMIF(D4:D113,"Analgesic",J4:J113)</calculatedColumnFormula>
    </tableColumn>
    <tableColumn id="24" xr3:uid="{6E28C20A-B3B4-4152-96F4-4773398CABD3}" name="VLOOKUP"/>
    <tableColumn id="25" xr3:uid="{A050D03E-25A8-4F68-9CE1-B3E35E43024D}" name="XLOOKUP" dataDxfId="9">
      <calculatedColumnFormula>LOOKUP(J4,#REF!)</calculatedColumnFormula>
    </tableColumn>
    <tableColumn id="13" xr3:uid="{2ADC7AD1-4C7A-47C6-A0A0-51EC5D77607D}" name="Index" dataDxfId="4"/>
    <tableColumn id="14" xr3:uid="{66DF4978-0E80-4E8A-AFC9-DF9C09231282}" name="Match"/>
    <tableColumn id="15" xr3:uid="{DC1DBCF7-A1E6-4A50-AEDD-015378ED1ECF}" name="Index + Match" dataDxfId="3">
      <calculatedColumnFormula>INDEX(C3:C112,MATCH(W6,B3:B112,0))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2.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1B791-0C84-40D4-93DC-E3D1073263A6}">
  <dimension ref="A1:X213"/>
  <sheetViews>
    <sheetView zoomScale="81" zoomScaleNormal="100" workbookViewId="0">
      <selection activeCell="T17" sqref="T17"/>
    </sheetView>
  </sheetViews>
  <sheetFormatPr defaultRowHeight="14.4" x14ac:dyDescent="0.3"/>
  <cols>
    <col min="1" max="1" width="13.88671875" style="17" bestFit="1" customWidth="1"/>
    <col min="2" max="2" width="19.77734375" bestFit="1" customWidth="1"/>
    <col min="3" max="3" width="21.5546875" bestFit="1" customWidth="1"/>
    <col min="4" max="4" width="13.88671875" bestFit="1" customWidth="1"/>
    <col min="5" max="5" width="16.33203125" bestFit="1" customWidth="1"/>
    <col min="6" max="6" width="19.77734375" bestFit="1" customWidth="1"/>
    <col min="7" max="7" width="24.21875" bestFit="1" customWidth="1"/>
    <col min="8" max="8" width="13.88671875" bestFit="1" customWidth="1"/>
    <col min="9" max="9" width="19.77734375" bestFit="1" customWidth="1"/>
    <col min="10" max="10" width="18.21875" style="7" customWidth="1"/>
    <col min="11" max="11" width="17.109375" bestFit="1" customWidth="1"/>
    <col min="12" max="12" width="30.109375" customWidth="1"/>
    <col min="13" max="13" width="27.88671875" bestFit="1" customWidth="1"/>
    <col min="14" max="14" width="13.88671875" bestFit="1" customWidth="1"/>
    <col min="15" max="16" width="12.88671875" bestFit="1" customWidth="1"/>
    <col min="19" max="19" width="9.88671875" bestFit="1" customWidth="1"/>
    <col min="20" max="20" width="40.21875" customWidth="1"/>
    <col min="21" max="21" width="49.44140625" customWidth="1"/>
    <col min="22" max="22" width="11" style="7" bestFit="1" customWidth="1"/>
    <col min="23" max="23" width="41.5546875" style="11" customWidth="1"/>
    <col min="24" max="24" width="22.33203125" bestFit="1" customWidth="1"/>
  </cols>
  <sheetData>
    <row r="1" spans="1:24" ht="25.8" x14ac:dyDescent="0.5">
      <c r="A1" s="16"/>
      <c r="B1" s="12" t="s">
        <v>0</v>
      </c>
      <c r="C1" s="12"/>
      <c r="D1" s="12"/>
      <c r="E1" s="12"/>
      <c r="F1" s="12"/>
      <c r="G1" s="12"/>
      <c r="H1" s="12"/>
      <c r="I1" s="12"/>
      <c r="J1" s="12"/>
    </row>
    <row r="3" spans="1:24" ht="36" x14ac:dyDescent="0.3">
      <c r="A3" s="4" t="s">
        <v>199</v>
      </c>
      <c r="B3" s="3" t="s">
        <v>1</v>
      </c>
      <c r="C3" s="3" t="s">
        <v>2</v>
      </c>
      <c r="D3" s="3" t="s">
        <v>3</v>
      </c>
      <c r="E3" s="3" t="s">
        <v>4</v>
      </c>
      <c r="F3" s="3" t="s">
        <v>5</v>
      </c>
      <c r="G3" s="3" t="s">
        <v>6</v>
      </c>
      <c r="H3" s="3" t="s">
        <v>7</v>
      </c>
      <c r="I3" s="3" t="s">
        <v>9</v>
      </c>
      <c r="J3" s="10" t="s">
        <v>8</v>
      </c>
      <c r="K3" s="8" t="s">
        <v>221</v>
      </c>
      <c r="L3" s="8" t="s">
        <v>205</v>
      </c>
      <c r="M3" s="8" t="s">
        <v>213</v>
      </c>
      <c r="N3" s="8" t="s">
        <v>200</v>
      </c>
      <c r="O3" s="8" t="s">
        <v>201</v>
      </c>
      <c r="P3" s="8" t="s">
        <v>202</v>
      </c>
      <c r="Q3" s="8" t="s">
        <v>204</v>
      </c>
      <c r="R3" s="8" t="s">
        <v>203</v>
      </c>
      <c r="S3" s="8" t="s">
        <v>207</v>
      </c>
      <c r="T3" s="8" t="s">
        <v>206</v>
      </c>
      <c r="U3" s="18" t="s">
        <v>208</v>
      </c>
      <c r="V3" s="8" t="s">
        <v>223</v>
      </c>
      <c r="W3" s="8" t="s">
        <v>224</v>
      </c>
      <c r="X3" s="8" t="s">
        <v>225</v>
      </c>
    </row>
    <row r="4" spans="1:24" x14ac:dyDescent="0.3">
      <c r="A4" s="17">
        <v>1</v>
      </c>
      <c r="B4" t="s">
        <v>87</v>
      </c>
      <c r="C4" t="s">
        <v>25</v>
      </c>
      <c r="D4" t="s">
        <v>26</v>
      </c>
      <c r="E4" t="s">
        <v>88</v>
      </c>
      <c r="F4" t="s">
        <v>89</v>
      </c>
      <c r="G4">
        <v>123</v>
      </c>
      <c r="H4" s="7">
        <v>12</v>
      </c>
      <c r="I4" s="1">
        <v>45303</v>
      </c>
      <c r="J4" s="7">
        <f>H4*G4</f>
        <v>1476</v>
      </c>
      <c r="K4" s="2" t="s">
        <v>218</v>
      </c>
      <c r="L4" t="str">
        <f t="shared" ref="L4:L35" si="0">_xlfn.CONCAT(C4,"-",D4)</f>
        <v>Metformin-Anti-Diabetic</v>
      </c>
      <c r="M4" s="2" t="str">
        <f t="shared" ref="M4:M35" si="1">IF(J4&gt;=10000, "High", IF(J4&gt;=5000,"Medium","Low"))</f>
        <v>Low</v>
      </c>
      <c r="N4" s="7">
        <f>SUM(J4:J113)</f>
        <v>1171332</v>
      </c>
      <c r="O4" s="5">
        <f>AVERAGE(G4:G113)</f>
        <v>272.12727272727273</v>
      </c>
      <c r="P4" s="6">
        <f>AVERAGE(H4:H113)</f>
        <v>36.386363636363633</v>
      </c>
      <c r="Q4" s="7">
        <f>MIN(J4:J113)</f>
        <v>207</v>
      </c>
      <c r="R4" s="7">
        <f>MAX(J4:J113)</f>
        <v>60300</v>
      </c>
      <c r="S4" s="7">
        <f t="shared" ref="S4:S35" si="2">SUMIF(D4:D113,"Analgesic",J4:J113)</f>
        <v>36473</v>
      </c>
      <c r="T4" s="17" t="s">
        <v>144</v>
      </c>
      <c r="U4" s="7"/>
      <c r="V4"/>
      <c r="W4"/>
    </row>
    <row r="5" spans="1:24" x14ac:dyDescent="0.3">
      <c r="A5" s="17">
        <v>2</v>
      </c>
      <c r="B5" t="s">
        <v>90</v>
      </c>
      <c r="C5" t="s">
        <v>16</v>
      </c>
      <c r="D5" t="s">
        <v>17</v>
      </c>
      <c r="E5" t="s">
        <v>91</v>
      </c>
      <c r="F5" t="s">
        <v>92</v>
      </c>
      <c r="G5">
        <v>287</v>
      </c>
      <c r="H5" s="7">
        <v>25</v>
      </c>
      <c r="I5" s="1">
        <v>45306</v>
      </c>
      <c r="J5" s="7">
        <f t="shared" ref="J5:J35" si="3">H5*G5</f>
        <v>7175</v>
      </c>
      <c r="K5" s="2" t="s">
        <v>219</v>
      </c>
      <c r="L5" t="str">
        <f t="shared" si="0"/>
        <v>Azithromycin-Antibiotic</v>
      </c>
      <c r="M5" s="2" t="str">
        <f t="shared" si="1"/>
        <v>Medium</v>
      </c>
      <c r="N5" s="7"/>
      <c r="S5" s="7"/>
      <c r="T5" s="20" t="str">
        <f>VLOOKUP(T4,B4:M113,12,FALSE)</f>
        <v>Low</v>
      </c>
      <c r="U5" s="7"/>
      <c r="V5" t="str">
        <f>INDEX(C4:C113,11)</f>
        <v>Fluconazole</v>
      </c>
      <c r="W5"/>
      <c r="X5" t="str">
        <f t="shared" ref="X4:X35" si="4">INDEX(C4:C113,MATCH(W7,B4:B113,0))</f>
        <v>Phenytoin</v>
      </c>
    </row>
    <row r="6" spans="1:24" x14ac:dyDescent="0.3">
      <c r="A6" s="17">
        <v>3</v>
      </c>
      <c r="B6" t="s">
        <v>93</v>
      </c>
      <c r="C6" t="s">
        <v>33</v>
      </c>
      <c r="D6" t="s">
        <v>34</v>
      </c>
      <c r="E6" t="s">
        <v>94</v>
      </c>
      <c r="F6" t="s">
        <v>95</v>
      </c>
      <c r="G6">
        <v>54</v>
      </c>
      <c r="H6" s="7">
        <v>18</v>
      </c>
      <c r="I6" s="1">
        <v>45309</v>
      </c>
      <c r="J6" s="7">
        <f t="shared" si="3"/>
        <v>972</v>
      </c>
      <c r="K6" s="2" t="s">
        <v>220</v>
      </c>
      <c r="L6" t="str">
        <f t="shared" si="0"/>
        <v>Atorvastatin-Cardiac</v>
      </c>
      <c r="M6" s="2" t="str">
        <f t="shared" si="1"/>
        <v>Low</v>
      </c>
      <c r="N6" s="7"/>
      <c r="S6" s="7"/>
      <c r="T6" t="s">
        <v>212</v>
      </c>
      <c r="U6" s="7"/>
      <c r="V6"/>
      <c r="W6"/>
    </row>
    <row r="7" spans="1:24" x14ac:dyDescent="0.3">
      <c r="A7" s="17">
        <v>4</v>
      </c>
      <c r="B7" t="s">
        <v>96</v>
      </c>
      <c r="C7" t="s">
        <v>10</v>
      </c>
      <c r="D7" t="s">
        <v>11</v>
      </c>
      <c r="E7" t="s">
        <v>91</v>
      </c>
      <c r="F7" t="s">
        <v>97</v>
      </c>
      <c r="G7">
        <v>462</v>
      </c>
      <c r="H7" s="7">
        <v>17</v>
      </c>
      <c r="I7" s="1">
        <v>45311</v>
      </c>
      <c r="J7" s="7">
        <f t="shared" si="3"/>
        <v>7854</v>
      </c>
      <c r="K7" s="2" t="s">
        <v>218</v>
      </c>
      <c r="L7" t="str">
        <f t="shared" si="0"/>
        <v>Paracetamol-Analgesic</v>
      </c>
      <c r="M7" s="2" t="str">
        <f t="shared" si="1"/>
        <v>Medium</v>
      </c>
      <c r="N7" s="7"/>
      <c r="S7" s="7"/>
      <c r="U7" s="7"/>
      <c r="V7"/>
      <c r="W7" t="s">
        <v>142</v>
      </c>
    </row>
    <row r="8" spans="1:24" x14ac:dyDescent="0.3">
      <c r="A8" s="17">
        <v>5</v>
      </c>
      <c r="B8" t="s">
        <v>98</v>
      </c>
      <c r="C8" t="s">
        <v>53</v>
      </c>
      <c r="D8" t="s">
        <v>54</v>
      </c>
      <c r="E8" t="s">
        <v>99</v>
      </c>
      <c r="F8" t="s">
        <v>100</v>
      </c>
      <c r="G8">
        <v>198</v>
      </c>
      <c r="H8" s="7">
        <v>22</v>
      </c>
      <c r="I8" s="1">
        <v>45313</v>
      </c>
      <c r="J8" s="7">
        <f t="shared" si="3"/>
        <v>4356</v>
      </c>
      <c r="K8" s="2" t="s">
        <v>220</v>
      </c>
      <c r="L8" t="str">
        <f t="shared" si="0"/>
        <v>Salbutamol-Respiratory</v>
      </c>
      <c r="M8" s="2" t="str">
        <f t="shared" si="1"/>
        <v>Low</v>
      </c>
      <c r="N8" s="7"/>
      <c r="S8" s="7"/>
      <c r="U8" s="19" t="s">
        <v>107</v>
      </c>
      <c r="V8"/>
      <c r="W8" s="17">
        <f>MATCH(W7,B4:B113,0)</f>
        <v>27</v>
      </c>
    </row>
    <row r="9" spans="1:24" x14ac:dyDescent="0.3">
      <c r="A9" s="17">
        <v>6</v>
      </c>
      <c r="B9" t="s">
        <v>101</v>
      </c>
      <c r="C9" t="s">
        <v>45</v>
      </c>
      <c r="D9" t="s">
        <v>44</v>
      </c>
      <c r="E9" t="s">
        <v>102</v>
      </c>
      <c r="F9" t="s">
        <v>103</v>
      </c>
      <c r="G9">
        <v>315</v>
      </c>
      <c r="H9" s="7">
        <v>14</v>
      </c>
      <c r="I9" s="1">
        <v>45316</v>
      </c>
      <c r="J9" s="7">
        <f t="shared" si="3"/>
        <v>4410</v>
      </c>
      <c r="K9" s="2" t="s">
        <v>219</v>
      </c>
      <c r="L9" t="str">
        <f t="shared" si="0"/>
        <v>Pantoprazole-Gastrointestinal</v>
      </c>
      <c r="M9" s="2" t="str">
        <f t="shared" si="1"/>
        <v>Low</v>
      </c>
      <c r="N9" s="7"/>
      <c r="S9" s="7"/>
      <c r="U9" s="20" t="str">
        <f>_xlfn.XLOOKUP(U8,B4:B113,L4:L113)</f>
        <v>Glimepiride-Anti-Diabetic</v>
      </c>
      <c r="V9"/>
      <c r="W9" t="s">
        <v>226</v>
      </c>
    </row>
    <row r="10" spans="1:24" x14ac:dyDescent="0.3">
      <c r="A10" s="17">
        <v>7</v>
      </c>
      <c r="B10" t="s">
        <v>104</v>
      </c>
      <c r="C10" t="s">
        <v>51</v>
      </c>
      <c r="D10" t="s">
        <v>50</v>
      </c>
      <c r="E10" t="s">
        <v>105</v>
      </c>
      <c r="F10" t="s">
        <v>106</v>
      </c>
      <c r="G10">
        <v>401</v>
      </c>
      <c r="H10" s="7">
        <v>4</v>
      </c>
      <c r="I10" s="1">
        <v>45317</v>
      </c>
      <c r="J10" s="7">
        <f t="shared" si="3"/>
        <v>1604</v>
      </c>
      <c r="K10" s="2" t="s">
        <v>218</v>
      </c>
      <c r="L10" t="str">
        <f t="shared" si="0"/>
        <v>Cetirizine-Anti-Allergic</v>
      </c>
      <c r="M10" s="2" t="str">
        <f t="shared" si="1"/>
        <v>Low</v>
      </c>
      <c r="N10" s="7"/>
      <c r="S10" s="7"/>
      <c r="U10" s="7" t="s">
        <v>210</v>
      </c>
      <c r="V10"/>
      <c r="W10"/>
    </row>
    <row r="11" spans="1:24" x14ac:dyDescent="0.3">
      <c r="A11" s="17">
        <v>8</v>
      </c>
      <c r="B11" t="s">
        <v>107</v>
      </c>
      <c r="C11" t="s">
        <v>27</v>
      </c>
      <c r="D11" t="s">
        <v>26</v>
      </c>
      <c r="E11" t="s">
        <v>88</v>
      </c>
      <c r="F11" t="s">
        <v>108</v>
      </c>
      <c r="G11">
        <v>256</v>
      </c>
      <c r="H11" s="7">
        <v>16</v>
      </c>
      <c r="I11" s="1">
        <v>45319</v>
      </c>
      <c r="J11" s="7">
        <f t="shared" si="3"/>
        <v>4096</v>
      </c>
      <c r="K11" s="2" t="s">
        <v>218</v>
      </c>
      <c r="L11" t="str">
        <f t="shared" si="0"/>
        <v>Glimepiride-Anti-Diabetic</v>
      </c>
      <c r="M11" s="2" t="str">
        <f t="shared" si="1"/>
        <v>Low</v>
      </c>
      <c r="N11" s="7"/>
      <c r="S11" s="7"/>
      <c r="U11" s="7"/>
      <c r="V11"/>
      <c r="W11"/>
    </row>
    <row r="12" spans="1:24" x14ac:dyDescent="0.3">
      <c r="A12" s="17">
        <v>9</v>
      </c>
      <c r="B12" t="s">
        <v>109</v>
      </c>
      <c r="C12" t="s">
        <v>38</v>
      </c>
      <c r="D12" t="s">
        <v>34</v>
      </c>
      <c r="E12" t="s">
        <v>94</v>
      </c>
      <c r="F12" t="s">
        <v>110</v>
      </c>
      <c r="G12">
        <v>73</v>
      </c>
      <c r="H12" s="7">
        <v>10</v>
      </c>
      <c r="I12" s="1">
        <v>45321</v>
      </c>
      <c r="J12" s="7">
        <f t="shared" si="3"/>
        <v>730</v>
      </c>
      <c r="K12" s="2" t="s">
        <v>220</v>
      </c>
      <c r="L12" t="str">
        <f t="shared" si="0"/>
        <v>Amlodipine-Cardiac</v>
      </c>
      <c r="M12" s="2" t="str">
        <f t="shared" si="1"/>
        <v>Low</v>
      </c>
      <c r="N12" s="7"/>
      <c r="S12" s="7"/>
      <c r="U12" s="20" t="s">
        <v>10</v>
      </c>
      <c r="V12"/>
      <c r="W12"/>
    </row>
    <row r="13" spans="1:24" x14ac:dyDescent="0.3">
      <c r="A13" s="17">
        <v>10</v>
      </c>
      <c r="B13" t="s">
        <v>111</v>
      </c>
      <c r="C13" t="s">
        <v>70</v>
      </c>
      <c r="D13" t="s">
        <v>71</v>
      </c>
      <c r="E13" t="s">
        <v>112</v>
      </c>
      <c r="F13" t="s">
        <v>113</v>
      </c>
      <c r="G13">
        <v>387</v>
      </c>
      <c r="H13" s="7">
        <v>45</v>
      </c>
      <c r="I13" s="1">
        <v>45324</v>
      </c>
      <c r="J13" s="7">
        <f t="shared" si="3"/>
        <v>17415</v>
      </c>
      <c r="K13" s="2" t="s">
        <v>219</v>
      </c>
      <c r="L13" t="str">
        <f t="shared" si="0"/>
        <v>Levetiracetam-Neurology</v>
      </c>
      <c r="M13" s="2" t="str">
        <f t="shared" si="1"/>
        <v>High</v>
      </c>
      <c r="N13" s="7"/>
      <c r="S13" s="7"/>
      <c r="U13" s="19">
        <f>_xlfn.XLOOKUP(U12,C4:C113,H4:H113)</f>
        <v>17</v>
      </c>
      <c r="V13"/>
      <c r="W13"/>
    </row>
    <row r="14" spans="1:24" x14ac:dyDescent="0.3">
      <c r="A14" s="17">
        <v>11</v>
      </c>
      <c r="B14" t="s">
        <v>114</v>
      </c>
      <c r="C14" t="s">
        <v>84</v>
      </c>
      <c r="D14" t="s">
        <v>85</v>
      </c>
      <c r="E14" t="s">
        <v>115</v>
      </c>
      <c r="F14" t="s">
        <v>92</v>
      </c>
      <c r="G14">
        <v>142</v>
      </c>
      <c r="H14" s="7">
        <v>35</v>
      </c>
      <c r="I14" s="1">
        <v>45325</v>
      </c>
      <c r="J14" s="7">
        <f t="shared" si="3"/>
        <v>4970</v>
      </c>
      <c r="K14" s="2" t="s">
        <v>220</v>
      </c>
      <c r="L14" t="str">
        <f t="shared" si="0"/>
        <v>Fluconazole-Antifungal</v>
      </c>
      <c r="M14" s="2" t="str">
        <f t="shared" si="1"/>
        <v>Low</v>
      </c>
      <c r="N14" s="7"/>
      <c r="S14" s="7"/>
      <c r="U14" t="s">
        <v>209</v>
      </c>
      <c r="V14"/>
      <c r="W14"/>
    </row>
    <row r="15" spans="1:24" x14ac:dyDescent="0.3">
      <c r="A15" s="17">
        <v>12</v>
      </c>
      <c r="B15" t="s">
        <v>116</v>
      </c>
      <c r="C15" t="s">
        <v>55</v>
      </c>
      <c r="D15" t="s">
        <v>54</v>
      </c>
      <c r="E15" t="s">
        <v>99</v>
      </c>
      <c r="F15" t="s">
        <v>89</v>
      </c>
      <c r="G15">
        <v>499</v>
      </c>
      <c r="H15" s="7">
        <v>28</v>
      </c>
      <c r="I15" s="1">
        <v>45327</v>
      </c>
      <c r="J15" s="7">
        <f t="shared" si="3"/>
        <v>13972</v>
      </c>
      <c r="K15" s="2" t="s">
        <v>218</v>
      </c>
      <c r="L15" t="str">
        <f t="shared" si="0"/>
        <v>Montelukast-Respiratory</v>
      </c>
      <c r="M15" s="2" t="str">
        <f t="shared" si="1"/>
        <v>High</v>
      </c>
      <c r="N15" s="7"/>
      <c r="S15" s="7"/>
      <c r="U15" s="7"/>
      <c r="V15"/>
      <c r="W15"/>
    </row>
    <row r="16" spans="1:24" x14ac:dyDescent="0.3">
      <c r="A16" s="17">
        <v>13</v>
      </c>
      <c r="B16" t="s">
        <v>117</v>
      </c>
      <c r="C16" t="s">
        <v>60</v>
      </c>
      <c r="D16" t="s">
        <v>61</v>
      </c>
      <c r="E16" t="s">
        <v>118</v>
      </c>
      <c r="F16" t="s">
        <v>119</v>
      </c>
      <c r="G16">
        <v>219</v>
      </c>
      <c r="H16" s="7">
        <v>22</v>
      </c>
      <c r="I16" s="1">
        <v>45328</v>
      </c>
      <c r="J16" s="7">
        <f t="shared" si="3"/>
        <v>4818</v>
      </c>
      <c r="K16" s="2" t="s">
        <v>219</v>
      </c>
      <c r="L16" t="str">
        <f t="shared" si="0"/>
        <v>Vitamin D3-Vitamin</v>
      </c>
      <c r="M16" s="2" t="str">
        <f t="shared" si="1"/>
        <v>Low</v>
      </c>
      <c r="N16" s="7"/>
      <c r="S16" s="7"/>
      <c r="U16" s="7"/>
      <c r="V16"/>
      <c r="W16"/>
    </row>
    <row r="17" spans="1:23" x14ac:dyDescent="0.3">
      <c r="A17" s="17">
        <v>14</v>
      </c>
      <c r="B17" t="s">
        <v>120</v>
      </c>
      <c r="C17" t="s">
        <v>59</v>
      </c>
      <c r="D17" t="s">
        <v>58</v>
      </c>
      <c r="E17" t="s">
        <v>102</v>
      </c>
      <c r="F17" t="s">
        <v>95</v>
      </c>
      <c r="G17">
        <v>85</v>
      </c>
      <c r="H17" s="7">
        <v>11</v>
      </c>
      <c r="I17" s="1">
        <v>45330</v>
      </c>
      <c r="J17" s="7">
        <f t="shared" si="3"/>
        <v>935</v>
      </c>
      <c r="K17" s="2" t="s">
        <v>218</v>
      </c>
      <c r="L17" t="str">
        <f t="shared" si="0"/>
        <v>Domperidone-Anti-Emetic</v>
      </c>
      <c r="M17" s="2" t="str">
        <f t="shared" si="1"/>
        <v>Low</v>
      </c>
      <c r="N17" s="7"/>
      <c r="S17" s="7"/>
      <c r="T17" s="2" t="s">
        <v>46</v>
      </c>
      <c r="U17" s="7"/>
      <c r="V17"/>
      <c r="W17"/>
    </row>
    <row r="18" spans="1:23" x14ac:dyDescent="0.3">
      <c r="A18" s="17">
        <v>15</v>
      </c>
      <c r="B18" t="s">
        <v>121</v>
      </c>
      <c r="C18" t="s">
        <v>35</v>
      </c>
      <c r="D18" t="s">
        <v>34</v>
      </c>
      <c r="E18" t="s">
        <v>94</v>
      </c>
      <c r="F18" t="s">
        <v>122</v>
      </c>
      <c r="G18">
        <v>312</v>
      </c>
      <c r="H18" s="7">
        <v>22</v>
      </c>
      <c r="I18" s="1">
        <v>45332</v>
      </c>
      <c r="J18" s="7">
        <f t="shared" si="3"/>
        <v>6864</v>
      </c>
      <c r="K18" s="2" t="s">
        <v>220</v>
      </c>
      <c r="L18" t="str">
        <f t="shared" si="0"/>
        <v>Rosuvastatin-Cardiac</v>
      </c>
      <c r="M18" s="2" t="str">
        <f t="shared" si="1"/>
        <v>Medium</v>
      </c>
      <c r="N18" s="7"/>
      <c r="S18" s="7"/>
      <c r="T18" s="17">
        <f>VLOOKUP(T17,C4:J113,5,FALSE)</f>
        <v>97</v>
      </c>
      <c r="U18" s="7"/>
      <c r="V18"/>
      <c r="W18"/>
    </row>
    <row r="19" spans="1:23" x14ac:dyDescent="0.3">
      <c r="A19" s="17">
        <v>16</v>
      </c>
      <c r="B19" t="s">
        <v>123</v>
      </c>
      <c r="C19" t="s">
        <v>20</v>
      </c>
      <c r="D19" t="s">
        <v>17</v>
      </c>
      <c r="E19" t="s">
        <v>115</v>
      </c>
      <c r="F19" t="s">
        <v>100</v>
      </c>
      <c r="G19">
        <v>176</v>
      </c>
      <c r="H19" s="7">
        <v>30</v>
      </c>
      <c r="I19" s="1">
        <v>45333</v>
      </c>
      <c r="J19" s="7">
        <f t="shared" si="3"/>
        <v>5280</v>
      </c>
      <c r="K19" s="2" t="s">
        <v>220</v>
      </c>
      <c r="L19" t="str">
        <f t="shared" si="0"/>
        <v>Doxycycline-Antibiotic</v>
      </c>
      <c r="M19" s="2" t="str">
        <f t="shared" si="1"/>
        <v>Medium</v>
      </c>
      <c r="N19" s="7"/>
      <c r="S19" s="7"/>
      <c r="T19" t="s">
        <v>211</v>
      </c>
      <c r="U19" s="7"/>
      <c r="V19"/>
      <c r="W19"/>
    </row>
    <row r="20" spans="1:23" x14ac:dyDescent="0.3">
      <c r="A20" s="17">
        <v>17</v>
      </c>
      <c r="B20" t="s">
        <v>124</v>
      </c>
      <c r="C20" t="s">
        <v>78</v>
      </c>
      <c r="D20" t="s">
        <v>79</v>
      </c>
      <c r="E20" t="s">
        <v>125</v>
      </c>
      <c r="F20" t="s">
        <v>126</v>
      </c>
      <c r="G20">
        <v>456</v>
      </c>
      <c r="H20" s="7">
        <v>40</v>
      </c>
      <c r="I20" s="1">
        <v>45335</v>
      </c>
      <c r="J20" s="7">
        <f t="shared" si="3"/>
        <v>18240</v>
      </c>
      <c r="K20" s="2" t="s">
        <v>219</v>
      </c>
      <c r="L20" t="str">
        <f t="shared" si="0"/>
        <v>Tramadol-Pain Management</v>
      </c>
      <c r="M20" s="2" t="str">
        <f t="shared" si="1"/>
        <v>High</v>
      </c>
      <c r="N20" s="7"/>
      <c r="S20" s="7"/>
      <c r="U20" s="7"/>
      <c r="V20"/>
      <c r="W20"/>
    </row>
    <row r="21" spans="1:23" x14ac:dyDescent="0.3">
      <c r="A21" s="17">
        <v>18</v>
      </c>
      <c r="B21" t="s">
        <v>127</v>
      </c>
      <c r="C21" t="s">
        <v>39</v>
      </c>
      <c r="D21" t="s">
        <v>34</v>
      </c>
      <c r="E21" t="s">
        <v>94</v>
      </c>
      <c r="F21" t="s">
        <v>128</v>
      </c>
      <c r="G21">
        <v>98</v>
      </c>
      <c r="H21" s="7">
        <v>19</v>
      </c>
      <c r="I21" s="1">
        <v>45337</v>
      </c>
      <c r="J21" s="7">
        <f t="shared" si="3"/>
        <v>1862</v>
      </c>
      <c r="K21" s="2" t="s">
        <v>218</v>
      </c>
      <c r="L21" t="str">
        <f t="shared" si="0"/>
        <v>Losartan-Cardiac</v>
      </c>
      <c r="M21" s="2" t="str">
        <f t="shared" si="1"/>
        <v>Low</v>
      </c>
      <c r="N21" s="7"/>
      <c r="S21" s="7"/>
      <c r="U21" s="7"/>
      <c r="V21"/>
      <c r="W21"/>
    </row>
    <row r="22" spans="1:23" x14ac:dyDescent="0.3">
      <c r="A22" s="17">
        <v>19</v>
      </c>
      <c r="B22" t="s">
        <v>129</v>
      </c>
      <c r="C22" t="s">
        <v>32</v>
      </c>
      <c r="D22" t="s">
        <v>26</v>
      </c>
      <c r="E22" t="s">
        <v>88</v>
      </c>
      <c r="F22" t="s">
        <v>92</v>
      </c>
      <c r="G22">
        <v>231</v>
      </c>
      <c r="H22" s="7">
        <v>120</v>
      </c>
      <c r="I22" s="1">
        <v>45338</v>
      </c>
      <c r="J22" s="7">
        <f t="shared" si="3"/>
        <v>27720</v>
      </c>
      <c r="K22" s="2" t="s">
        <v>219</v>
      </c>
      <c r="L22" t="str">
        <f t="shared" si="0"/>
        <v>Insulin Glargine-Anti-Diabetic</v>
      </c>
      <c r="M22" s="2" t="str">
        <f t="shared" si="1"/>
        <v>High</v>
      </c>
      <c r="N22" s="7"/>
      <c r="S22" s="7"/>
      <c r="U22" s="7"/>
      <c r="V22"/>
      <c r="W22"/>
    </row>
    <row r="23" spans="1:23" x14ac:dyDescent="0.3">
      <c r="A23" s="17">
        <v>20</v>
      </c>
      <c r="B23" t="s">
        <v>130</v>
      </c>
      <c r="C23" t="s">
        <v>76</v>
      </c>
      <c r="D23" t="s">
        <v>75</v>
      </c>
      <c r="E23" t="s">
        <v>131</v>
      </c>
      <c r="F23" t="s">
        <v>89</v>
      </c>
      <c r="G23">
        <v>344</v>
      </c>
      <c r="H23" s="7">
        <v>55</v>
      </c>
      <c r="I23" s="1">
        <v>45340</v>
      </c>
      <c r="J23" s="7">
        <f t="shared" si="3"/>
        <v>18920</v>
      </c>
      <c r="K23" s="2" t="s">
        <v>220</v>
      </c>
      <c r="L23" t="str">
        <f t="shared" si="0"/>
        <v>Escitalopram-Psychiatry</v>
      </c>
      <c r="M23" s="2" t="str">
        <f t="shared" si="1"/>
        <v>High</v>
      </c>
      <c r="N23" s="7"/>
      <c r="S23" s="7"/>
      <c r="U23" s="7"/>
      <c r="V23"/>
      <c r="W23"/>
    </row>
    <row r="24" spans="1:23" x14ac:dyDescent="0.3">
      <c r="A24" s="17">
        <v>21</v>
      </c>
      <c r="B24" t="s">
        <v>132</v>
      </c>
      <c r="C24" t="s">
        <v>19</v>
      </c>
      <c r="D24" t="s">
        <v>17</v>
      </c>
      <c r="E24" t="s">
        <v>133</v>
      </c>
      <c r="F24" t="s">
        <v>134</v>
      </c>
      <c r="G24">
        <v>187</v>
      </c>
      <c r="H24" s="7">
        <v>32</v>
      </c>
      <c r="I24" s="1">
        <v>45342</v>
      </c>
      <c r="J24" s="7">
        <f t="shared" si="3"/>
        <v>5984</v>
      </c>
      <c r="K24" s="2" t="s">
        <v>218</v>
      </c>
      <c r="L24" t="str">
        <f t="shared" si="0"/>
        <v>Ciprofloxacin-Antibiotic</v>
      </c>
      <c r="M24" s="2" t="str">
        <f t="shared" si="1"/>
        <v>Medium</v>
      </c>
      <c r="N24" s="7"/>
      <c r="S24" s="7"/>
      <c r="U24" s="7"/>
      <c r="V24"/>
      <c r="W24"/>
    </row>
    <row r="25" spans="1:23" x14ac:dyDescent="0.3">
      <c r="A25" s="17">
        <v>22</v>
      </c>
      <c r="B25" t="s">
        <v>135</v>
      </c>
      <c r="C25" t="s">
        <v>43</v>
      </c>
      <c r="D25" t="s">
        <v>44</v>
      </c>
      <c r="E25" t="s">
        <v>102</v>
      </c>
      <c r="F25" t="s">
        <v>95</v>
      </c>
      <c r="G25">
        <v>278</v>
      </c>
      <c r="H25" s="7">
        <v>13</v>
      </c>
      <c r="I25" s="1">
        <v>45344</v>
      </c>
      <c r="J25" s="7">
        <f t="shared" si="3"/>
        <v>3614</v>
      </c>
      <c r="K25" s="2" t="s">
        <v>218</v>
      </c>
      <c r="L25" t="str">
        <f t="shared" si="0"/>
        <v>Omeprazole-Gastrointestinal</v>
      </c>
      <c r="M25" s="2" t="str">
        <f t="shared" si="1"/>
        <v>Low</v>
      </c>
      <c r="N25" s="7"/>
      <c r="S25" s="7"/>
      <c r="U25" s="7"/>
      <c r="V25"/>
      <c r="W25"/>
    </row>
    <row r="26" spans="1:23" x14ac:dyDescent="0.3">
      <c r="A26" s="17">
        <v>23</v>
      </c>
      <c r="B26" t="s">
        <v>136</v>
      </c>
      <c r="C26" t="s">
        <v>56</v>
      </c>
      <c r="D26" t="s">
        <v>54</v>
      </c>
      <c r="E26" t="s">
        <v>99</v>
      </c>
      <c r="F26" t="s">
        <v>137</v>
      </c>
      <c r="G26">
        <v>412</v>
      </c>
      <c r="H26" s="7">
        <v>65</v>
      </c>
      <c r="I26" s="1">
        <v>45346</v>
      </c>
      <c r="J26" s="7">
        <f t="shared" si="3"/>
        <v>26780</v>
      </c>
      <c r="K26" s="2" t="s">
        <v>219</v>
      </c>
      <c r="L26" t="str">
        <f t="shared" si="0"/>
        <v>Budesonide-Respiratory</v>
      </c>
      <c r="M26" s="2" t="str">
        <f t="shared" si="1"/>
        <v>High</v>
      </c>
      <c r="N26" s="7"/>
      <c r="S26" s="7"/>
      <c r="U26" s="7"/>
      <c r="V26"/>
      <c r="W26"/>
    </row>
    <row r="27" spans="1:23" x14ac:dyDescent="0.3">
      <c r="A27" s="17">
        <v>24</v>
      </c>
      <c r="B27" t="s">
        <v>138</v>
      </c>
      <c r="C27" t="s">
        <v>63</v>
      </c>
      <c r="D27" t="s">
        <v>61</v>
      </c>
      <c r="E27" t="s">
        <v>91</v>
      </c>
      <c r="F27" t="s">
        <v>139</v>
      </c>
      <c r="G27">
        <v>134</v>
      </c>
      <c r="H27" s="7">
        <v>20</v>
      </c>
      <c r="I27" s="1">
        <v>45347</v>
      </c>
      <c r="J27" s="7">
        <f t="shared" si="3"/>
        <v>2680</v>
      </c>
      <c r="K27" s="2" t="s">
        <v>220</v>
      </c>
      <c r="L27" t="str">
        <f t="shared" si="0"/>
        <v>Folic Acid-Vitamin</v>
      </c>
      <c r="M27" s="2" t="str">
        <f t="shared" si="1"/>
        <v>Low</v>
      </c>
      <c r="N27" s="7"/>
      <c r="S27" s="7"/>
      <c r="U27" s="7"/>
      <c r="V27"/>
      <c r="W27"/>
    </row>
    <row r="28" spans="1:23" x14ac:dyDescent="0.3">
      <c r="A28" s="17">
        <v>25</v>
      </c>
      <c r="B28" t="s">
        <v>140</v>
      </c>
      <c r="C28" t="s">
        <v>74</v>
      </c>
      <c r="D28" t="s">
        <v>75</v>
      </c>
      <c r="E28" t="s">
        <v>131</v>
      </c>
      <c r="F28" t="s">
        <v>92</v>
      </c>
      <c r="G28">
        <v>265</v>
      </c>
      <c r="H28" s="7">
        <v>48</v>
      </c>
      <c r="I28" s="1">
        <v>45349</v>
      </c>
      <c r="J28" s="7">
        <f t="shared" si="3"/>
        <v>12720</v>
      </c>
      <c r="K28" s="2" t="s">
        <v>218</v>
      </c>
      <c r="L28" t="str">
        <f t="shared" si="0"/>
        <v>Sertraline-Psychiatry</v>
      </c>
      <c r="M28" s="2" t="str">
        <f t="shared" si="1"/>
        <v>High</v>
      </c>
      <c r="N28" s="7"/>
      <c r="S28" s="7"/>
      <c r="U28" s="7"/>
      <c r="V28"/>
      <c r="W28"/>
    </row>
    <row r="29" spans="1:23" x14ac:dyDescent="0.3">
      <c r="A29" s="17">
        <v>26</v>
      </c>
      <c r="B29" t="s">
        <v>141</v>
      </c>
      <c r="C29" t="s">
        <v>37</v>
      </c>
      <c r="D29" t="s">
        <v>34</v>
      </c>
      <c r="E29" t="s">
        <v>94</v>
      </c>
      <c r="F29" t="s">
        <v>89</v>
      </c>
      <c r="G29">
        <v>399</v>
      </c>
      <c r="H29" s="7">
        <v>20</v>
      </c>
      <c r="I29" s="1">
        <v>45352</v>
      </c>
      <c r="J29" s="7">
        <f t="shared" si="3"/>
        <v>7980</v>
      </c>
      <c r="K29" s="2" t="s">
        <v>219</v>
      </c>
      <c r="L29" t="str">
        <f t="shared" si="0"/>
        <v>Clopidogrel-Cardiac</v>
      </c>
      <c r="M29" s="2" t="str">
        <f t="shared" si="1"/>
        <v>Medium</v>
      </c>
      <c r="N29" s="7"/>
      <c r="S29" s="7"/>
      <c r="U29" s="7"/>
      <c r="V29"/>
      <c r="W29"/>
    </row>
    <row r="30" spans="1:23" x14ac:dyDescent="0.3">
      <c r="A30" s="17">
        <v>27</v>
      </c>
      <c r="B30" t="s">
        <v>142</v>
      </c>
      <c r="C30" t="s">
        <v>72</v>
      </c>
      <c r="D30" t="s">
        <v>71</v>
      </c>
      <c r="E30" t="s">
        <v>112</v>
      </c>
      <c r="F30" t="s">
        <v>97</v>
      </c>
      <c r="G30">
        <v>178</v>
      </c>
      <c r="H30" s="7">
        <v>38</v>
      </c>
      <c r="I30" s="1">
        <v>45354</v>
      </c>
      <c r="J30" s="7">
        <f t="shared" si="3"/>
        <v>6764</v>
      </c>
      <c r="K30" s="2" t="s">
        <v>220</v>
      </c>
      <c r="L30" t="str">
        <f t="shared" si="0"/>
        <v>Phenytoin-Neurology</v>
      </c>
      <c r="M30" s="2" t="str">
        <f t="shared" si="1"/>
        <v>Medium</v>
      </c>
      <c r="N30" s="7"/>
      <c r="S30" s="7"/>
      <c r="U30" s="7"/>
      <c r="V30"/>
      <c r="W30"/>
    </row>
    <row r="31" spans="1:23" x14ac:dyDescent="0.3">
      <c r="A31" s="17">
        <v>28</v>
      </c>
      <c r="B31" t="s">
        <v>143</v>
      </c>
      <c r="C31" t="s">
        <v>86</v>
      </c>
      <c r="D31" t="s">
        <v>85</v>
      </c>
      <c r="E31" t="s">
        <v>115</v>
      </c>
      <c r="F31" t="s">
        <v>95</v>
      </c>
      <c r="G31">
        <v>351</v>
      </c>
      <c r="H31" s="7">
        <v>85</v>
      </c>
      <c r="I31" s="1">
        <v>45356</v>
      </c>
      <c r="J31" s="7">
        <f t="shared" si="3"/>
        <v>29835</v>
      </c>
      <c r="K31" s="2" t="s">
        <v>218</v>
      </c>
      <c r="L31" t="str">
        <f t="shared" si="0"/>
        <v>Itraconazole-Antifungal</v>
      </c>
      <c r="M31" s="2" t="str">
        <f t="shared" si="1"/>
        <v>High</v>
      </c>
      <c r="N31" s="7"/>
      <c r="S31" s="7"/>
      <c r="U31" s="7"/>
      <c r="V31"/>
      <c r="W31"/>
    </row>
    <row r="32" spans="1:23" x14ac:dyDescent="0.3">
      <c r="A32" s="17">
        <v>29</v>
      </c>
      <c r="B32" t="s">
        <v>144</v>
      </c>
      <c r="C32" t="s">
        <v>46</v>
      </c>
      <c r="D32" t="s">
        <v>44</v>
      </c>
      <c r="E32" t="s">
        <v>102</v>
      </c>
      <c r="F32" t="s">
        <v>100</v>
      </c>
      <c r="G32">
        <v>97</v>
      </c>
      <c r="H32" s="7">
        <v>15</v>
      </c>
      <c r="I32" s="1">
        <v>45358</v>
      </c>
      <c r="J32" s="7">
        <f t="shared" si="3"/>
        <v>1455</v>
      </c>
      <c r="K32" s="2" t="s">
        <v>220</v>
      </c>
      <c r="L32" t="str">
        <f t="shared" si="0"/>
        <v>Rabeprazole-Gastrointestinal</v>
      </c>
      <c r="M32" s="2" t="str">
        <f t="shared" si="1"/>
        <v>Low</v>
      </c>
      <c r="N32" s="7"/>
      <c r="S32" s="7"/>
      <c r="U32" s="7"/>
      <c r="V32"/>
      <c r="W32"/>
    </row>
    <row r="33" spans="1:23" x14ac:dyDescent="0.3">
      <c r="A33" s="17">
        <v>30</v>
      </c>
      <c r="B33" t="s">
        <v>96</v>
      </c>
      <c r="C33" t="s">
        <v>73</v>
      </c>
      <c r="D33" t="s">
        <v>71</v>
      </c>
      <c r="E33" t="s">
        <v>112</v>
      </c>
      <c r="F33" t="s">
        <v>92</v>
      </c>
      <c r="G33">
        <v>223</v>
      </c>
      <c r="H33" s="7">
        <v>42</v>
      </c>
      <c r="I33" s="1">
        <v>45360</v>
      </c>
      <c r="J33" s="7">
        <f t="shared" si="3"/>
        <v>9366</v>
      </c>
      <c r="K33" s="2" t="s">
        <v>219</v>
      </c>
      <c r="L33" t="str">
        <f t="shared" si="0"/>
        <v>Gabapentin-Neurology</v>
      </c>
      <c r="M33" s="2" t="str">
        <f t="shared" si="1"/>
        <v>Medium</v>
      </c>
      <c r="N33" s="7"/>
      <c r="S33" s="7"/>
      <c r="U33" s="7"/>
      <c r="V33"/>
      <c r="W33"/>
    </row>
    <row r="34" spans="1:23" x14ac:dyDescent="0.3">
      <c r="A34" s="17">
        <v>31</v>
      </c>
      <c r="B34" t="s">
        <v>145</v>
      </c>
      <c r="C34" t="s">
        <v>83</v>
      </c>
      <c r="D34" t="s">
        <v>82</v>
      </c>
      <c r="E34" t="s">
        <v>91</v>
      </c>
      <c r="F34" t="s">
        <v>103</v>
      </c>
      <c r="G34">
        <v>486</v>
      </c>
      <c r="H34" s="7">
        <v>110</v>
      </c>
      <c r="I34" s="1">
        <v>45362</v>
      </c>
      <c r="J34" s="7">
        <f t="shared" si="3"/>
        <v>53460</v>
      </c>
      <c r="K34" s="2" t="s">
        <v>218</v>
      </c>
      <c r="L34" t="str">
        <f t="shared" si="0"/>
        <v>Oseltamivir-Antiviral</v>
      </c>
      <c r="M34" s="2" t="str">
        <f t="shared" si="1"/>
        <v>High</v>
      </c>
      <c r="N34" s="7"/>
      <c r="S34" s="7"/>
      <c r="U34" s="7"/>
      <c r="V34"/>
      <c r="W34"/>
    </row>
    <row r="35" spans="1:23" x14ac:dyDescent="0.3">
      <c r="A35" s="17">
        <v>32</v>
      </c>
      <c r="B35" t="s">
        <v>146</v>
      </c>
      <c r="C35" t="s">
        <v>30</v>
      </c>
      <c r="D35" t="s">
        <v>26</v>
      </c>
      <c r="E35" t="s">
        <v>88</v>
      </c>
      <c r="F35" t="s">
        <v>89</v>
      </c>
      <c r="G35">
        <v>155</v>
      </c>
      <c r="H35" s="7">
        <v>26</v>
      </c>
      <c r="I35" s="1">
        <v>45364</v>
      </c>
      <c r="J35" s="7">
        <f t="shared" si="3"/>
        <v>4030</v>
      </c>
      <c r="K35" s="2" t="s">
        <v>218</v>
      </c>
      <c r="L35" t="str">
        <f t="shared" si="0"/>
        <v>Vildagliptin-Anti-Diabetic</v>
      </c>
      <c r="M35" s="2" t="str">
        <f t="shared" si="1"/>
        <v>Low</v>
      </c>
      <c r="N35" s="7"/>
      <c r="S35" s="7"/>
      <c r="U35" s="7"/>
      <c r="V35"/>
      <c r="W35"/>
    </row>
    <row r="36" spans="1:23" x14ac:dyDescent="0.3">
      <c r="A36" s="17">
        <v>33</v>
      </c>
      <c r="B36" t="s">
        <v>147</v>
      </c>
      <c r="C36" t="s">
        <v>66</v>
      </c>
      <c r="D36" t="s">
        <v>67</v>
      </c>
      <c r="E36" t="s">
        <v>148</v>
      </c>
      <c r="F36" t="s">
        <v>106</v>
      </c>
      <c r="G36">
        <v>341</v>
      </c>
      <c r="H36" s="7">
        <v>18</v>
      </c>
      <c r="I36" s="1">
        <v>45366</v>
      </c>
      <c r="J36" s="7">
        <f t="shared" ref="J36:J67" si="5">H36*G36</f>
        <v>6138</v>
      </c>
      <c r="K36" s="2" t="s">
        <v>220</v>
      </c>
      <c r="L36" t="str">
        <f t="shared" ref="L36:L67" si="6">_xlfn.CONCAT(C36,"-",D36)</f>
        <v>Prednisolone-Steroid</v>
      </c>
      <c r="M36" s="2" t="str">
        <f t="shared" ref="M36:M67" si="7">IF(J36&gt;=10000, "High", IF(J36&gt;=5000,"Medium","Low"))</f>
        <v>Medium</v>
      </c>
      <c r="N36" s="7"/>
      <c r="S36" s="7"/>
      <c r="U36" s="7"/>
      <c r="V36"/>
      <c r="W36"/>
    </row>
    <row r="37" spans="1:23" x14ac:dyDescent="0.3">
      <c r="A37" s="17">
        <v>34</v>
      </c>
      <c r="B37" t="s">
        <v>149</v>
      </c>
      <c r="C37" t="s">
        <v>21</v>
      </c>
      <c r="D37" t="s">
        <v>17</v>
      </c>
      <c r="E37" t="s">
        <v>133</v>
      </c>
      <c r="F37" t="s">
        <v>119</v>
      </c>
      <c r="G37">
        <v>197</v>
      </c>
      <c r="H37" s="7">
        <v>28</v>
      </c>
      <c r="I37" s="1">
        <v>45368</v>
      </c>
      <c r="J37" s="7">
        <f t="shared" si="5"/>
        <v>5516</v>
      </c>
      <c r="K37" s="2" t="s">
        <v>219</v>
      </c>
      <c r="L37" t="str">
        <f t="shared" si="6"/>
        <v>Cefixime-Antibiotic</v>
      </c>
      <c r="M37" s="2" t="str">
        <f t="shared" si="7"/>
        <v>Medium</v>
      </c>
      <c r="N37" s="7"/>
      <c r="S37" s="7"/>
      <c r="U37" s="7"/>
      <c r="V37"/>
      <c r="W37"/>
    </row>
    <row r="38" spans="1:23" x14ac:dyDescent="0.3">
      <c r="A38" s="17">
        <v>35</v>
      </c>
      <c r="B38" t="s">
        <v>104</v>
      </c>
      <c r="C38" t="s">
        <v>15</v>
      </c>
      <c r="D38" t="s">
        <v>11</v>
      </c>
      <c r="E38" t="s">
        <v>148</v>
      </c>
      <c r="F38" t="s">
        <v>100</v>
      </c>
      <c r="G38">
        <v>268</v>
      </c>
      <c r="H38" s="7">
        <v>24</v>
      </c>
      <c r="I38" s="1">
        <v>45370</v>
      </c>
      <c r="J38" s="7">
        <f t="shared" si="5"/>
        <v>6432</v>
      </c>
      <c r="K38" s="2" t="s">
        <v>220</v>
      </c>
      <c r="L38" t="str">
        <f t="shared" si="6"/>
        <v>Naproxen-Analgesic</v>
      </c>
      <c r="M38" s="2" t="str">
        <f t="shared" si="7"/>
        <v>Medium</v>
      </c>
      <c r="N38" s="7"/>
      <c r="S38" s="7"/>
      <c r="U38" s="7"/>
      <c r="V38"/>
      <c r="W38"/>
    </row>
    <row r="39" spans="1:23" x14ac:dyDescent="0.3">
      <c r="A39" s="17">
        <v>36</v>
      </c>
      <c r="B39" t="s">
        <v>150</v>
      </c>
      <c r="C39" t="s">
        <v>80</v>
      </c>
      <c r="D39" t="s">
        <v>79</v>
      </c>
      <c r="E39" t="s">
        <v>125</v>
      </c>
      <c r="F39" t="s">
        <v>92</v>
      </c>
      <c r="G39">
        <v>402</v>
      </c>
      <c r="H39" s="7">
        <v>150</v>
      </c>
      <c r="I39" s="1">
        <v>45372</v>
      </c>
      <c r="J39" s="7">
        <f t="shared" si="5"/>
        <v>60300</v>
      </c>
      <c r="K39" s="2" t="s">
        <v>218</v>
      </c>
      <c r="L39" t="str">
        <f t="shared" si="6"/>
        <v>Morphine-Pain Management</v>
      </c>
      <c r="M39" s="2" t="str">
        <f t="shared" si="7"/>
        <v>High</v>
      </c>
      <c r="N39" s="7"/>
      <c r="S39" s="7"/>
      <c r="U39" s="7"/>
      <c r="V39"/>
      <c r="W39"/>
    </row>
    <row r="40" spans="1:23" x14ac:dyDescent="0.3">
      <c r="A40" s="17">
        <v>37</v>
      </c>
      <c r="B40" t="s">
        <v>151</v>
      </c>
      <c r="C40" t="s">
        <v>69</v>
      </c>
      <c r="D40" t="s">
        <v>67</v>
      </c>
      <c r="E40" t="s">
        <v>133</v>
      </c>
      <c r="F40" t="s">
        <v>95</v>
      </c>
      <c r="G40">
        <v>159</v>
      </c>
      <c r="H40" s="7">
        <v>30</v>
      </c>
      <c r="I40" s="1">
        <v>45374</v>
      </c>
      <c r="J40" s="7">
        <f t="shared" si="5"/>
        <v>4770</v>
      </c>
      <c r="K40" s="2" t="s">
        <v>219</v>
      </c>
      <c r="L40" t="str">
        <f t="shared" si="6"/>
        <v>Hydrocortisone-Steroid</v>
      </c>
      <c r="M40" s="2" t="str">
        <f t="shared" si="7"/>
        <v>Low</v>
      </c>
      <c r="N40" s="7"/>
      <c r="S40" s="7"/>
      <c r="U40" s="7"/>
      <c r="V40"/>
      <c r="W40"/>
    </row>
    <row r="41" spans="1:23" x14ac:dyDescent="0.3">
      <c r="A41" s="17">
        <v>38</v>
      </c>
      <c r="B41" t="s">
        <v>152</v>
      </c>
      <c r="C41" t="s">
        <v>65</v>
      </c>
      <c r="D41" t="s">
        <v>61</v>
      </c>
      <c r="E41" t="s">
        <v>118</v>
      </c>
      <c r="F41" t="s">
        <v>126</v>
      </c>
      <c r="G41">
        <v>315</v>
      </c>
      <c r="H41" s="7">
        <v>5</v>
      </c>
      <c r="I41" s="1">
        <v>45376</v>
      </c>
      <c r="J41" s="7">
        <f t="shared" si="5"/>
        <v>1575</v>
      </c>
      <c r="K41" s="2" t="s">
        <v>218</v>
      </c>
      <c r="L41" t="str">
        <f t="shared" si="6"/>
        <v>Calcium Carbonate-Vitamin</v>
      </c>
      <c r="M41" s="2" t="str">
        <f t="shared" si="7"/>
        <v>Low</v>
      </c>
      <c r="N41" s="7"/>
      <c r="S41" s="7"/>
      <c r="U41" s="7"/>
      <c r="V41"/>
      <c r="W41"/>
    </row>
    <row r="42" spans="1:23" x14ac:dyDescent="0.3">
      <c r="A42" s="17">
        <v>39</v>
      </c>
      <c r="B42" t="s">
        <v>98</v>
      </c>
      <c r="C42" t="s">
        <v>81</v>
      </c>
      <c r="D42" t="s">
        <v>82</v>
      </c>
      <c r="E42" t="s">
        <v>115</v>
      </c>
      <c r="F42" t="s">
        <v>89</v>
      </c>
      <c r="G42">
        <v>94</v>
      </c>
      <c r="H42" s="7">
        <v>55</v>
      </c>
      <c r="I42" s="1">
        <v>45378</v>
      </c>
      <c r="J42" s="7">
        <f t="shared" si="5"/>
        <v>5170</v>
      </c>
      <c r="K42" s="2" t="s">
        <v>220</v>
      </c>
      <c r="L42" t="str">
        <f t="shared" si="6"/>
        <v>Acyclovir-Antiviral</v>
      </c>
      <c r="M42" s="2" t="str">
        <f t="shared" si="7"/>
        <v>Medium</v>
      </c>
      <c r="N42" s="7"/>
      <c r="S42" s="7"/>
      <c r="U42" s="7"/>
      <c r="V42"/>
      <c r="W42"/>
    </row>
    <row r="43" spans="1:23" x14ac:dyDescent="0.3">
      <c r="A43" s="17">
        <v>40</v>
      </c>
      <c r="B43" t="s">
        <v>153</v>
      </c>
      <c r="C43" t="s">
        <v>48</v>
      </c>
      <c r="D43" t="s">
        <v>44</v>
      </c>
      <c r="E43" t="s">
        <v>102</v>
      </c>
      <c r="F43" t="s">
        <v>97</v>
      </c>
      <c r="G43">
        <v>273</v>
      </c>
      <c r="H43" s="7">
        <v>8</v>
      </c>
      <c r="I43" s="1">
        <v>45380</v>
      </c>
      <c r="J43" s="7">
        <f t="shared" si="5"/>
        <v>2184</v>
      </c>
      <c r="K43" s="2" t="s">
        <v>218</v>
      </c>
      <c r="L43" t="str">
        <f t="shared" si="6"/>
        <v>Ranitidine-Gastrointestinal</v>
      </c>
      <c r="M43" s="2" t="str">
        <f t="shared" si="7"/>
        <v>Low</v>
      </c>
      <c r="N43" s="7"/>
      <c r="S43" s="7"/>
      <c r="U43" s="7"/>
      <c r="V43"/>
      <c r="W43"/>
    </row>
    <row r="44" spans="1:23" x14ac:dyDescent="0.3">
      <c r="A44" s="17">
        <v>41</v>
      </c>
      <c r="B44" t="s">
        <v>154</v>
      </c>
      <c r="C44" t="s">
        <v>36</v>
      </c>
      <c r="D44" t="s">
        <v>34</v>
      </c>
      <c r="E44" t="s">
        <v>94</v>
      </c>
      <c r="F44" t="s">
        <v>92</v>
      </c>
      <c r="G44">
        <v>438</v>
      </c>
      <c r="H44" s="7">
        <v>19</v>
      </c>
      <c r="I44" s="1">
        <v>45381</v>
      </c>
      <c r="J44" s="7">
        <f t="shared" si="5"/>
        <v>8322</v>
      </c>
      <c r="K44" s="2" t="s">
        <v>219</v>
      </c>
      <c r="L44" t="str">
        <f t="shared" si="6"/>
        <v>Simvastatin-Cardiac</v>
      </c>
      <c r="M44" s="2" t="str">
        <f t="shared" si="7"/>
        <v>Medium</v>
      </c>
      <c r="N44" s="7"/>
      <c r="S44" s="7"/>
      <c r="U44" s="7"/>
      <c r="V44"/>
      <c r="W44"/>
    </row>
    <row r="45" spans="1:23" x14ac:dyDescent="0.3">
      <c r="A45" s="17">
        <v>42</v>
      </c>
      <c r="B45" t="s">
        <v>155</v>
      </c>
      <c r="C45" t="s">
        <v>29</v>
      </c>
      <c r="D45" t="s">
        <v>26</v>
      </c>
      <c r="E45" t="s">
        <v>88</v>
      </c>
      <c r="F45" t="s">
        <v>95</v>
      </c>
      <c r="G45">
        <v>116</v>
      </c>
      <c r="H45" s="7">
        <v>34</v>
      </c>
      <c r="I45" s="1">
        <v>45383</v>
      </c>
      <c r="J45" s="7">
        <f t="shared" si="5"/>
        <v>3944</v>
      </c>
      <c r="K45" s="2" t="s">
        <v>220</v>
      </c>
      <c r="L45" t="str">
        <f t="shared" si="6"/>
        <v>Sitagliptin-Anti-Diabetic</v>
      </c>
      <c r="M45" s="2" t="str">
        <f t="shared" si="7"/>
        <v>Low</v>
      </c>
      <c r="N45" s="7"/>
      <c r="S45" s="7"/>
      <c r="U45" s="7"/>
      <c r="V45"/>
      <c r="W45"/>
    </row>
    <row r="46" spans="1:23" x14ac:dyDescent="0.3">
      <c r="A46" s="17">
        <v>43</v>
      </c>
      <c r="B46" t="s">
        <v>156</v>
      </c>
      <c r="C46" t="s">
        <v>68</v>
      </c>
      <c r="D46" t="s">
        <v>67</v>
      </c>
      <c r="E46" t="s">
        <v>133</v>
      </c>
      <c r="F46" t="s">
        <v>100</v>
      </c>
      <c r="G46">
        <v>254</v>
      </c>
      <c r="H46" s="7">
        <v>22</v>
      </c>
      <c r="I46" s="1">
        <v>45385</v>
      </c>
      <c r="J46" s="7">
        <f t="shared" si="5"/>
        <v>5588</v>
      </c>
      <c r="K46" s="2" t="s">
        <v>218</v>
      </c>
      <c r="L46" t="str">
        <f t="shared" si="6"/>
        <v>Dexamethasone-Steroid</v>
      </c>
      <c r="M46" s="2" t="str">
        <f t="shared" si="7"/>
        <v>Medium</v>
      </c>
      <c r="N46" s="7"/>
      <c r="S46" s="7"/>
      <c r="U46" s="7"/>
      <c r="V46"/>
      <c r="W46"/>
    </row>
    <row r="47" spans="1:23" x14ac:dyDescent="0.3">
      <c r="A47" s="17">
        <v>44</v>
      </c>
      <c r="B47" t="s">
        <v>157</v>
      </c>
      <c r="C47" t="s">
        <v>49</v>
      </c>
      <c r="D47" t="s">
        <v>50</v>
      </c>
      <c r="E47" t="s">
        <v>105</v>
      </c>
      <c r="F47" t="s">
        <v>106</v>
      </c>
      <c r="G47">
        <v>367</v>
      </c>
      <c r="H47" s="7">
        <v>5</v>
      </c>
      <c r="I47" s="1">
        <v>45387</v>
      </c>
      <c r="J47" s="7">
        <f t="shared" si="5"/>
        <v>1835</v>
      </c>
      <c r="K47" s="2" t="s">
        <v>220</v>
      </c>
      <c r="L47" t="str">
        <f t="shared" si="6"/>
        <v>Levocetirizine-Anti-Allergic</v>
      </c>
      <c r="M47" s="2" t="str">
        <f t="shared" si="7"/>
        <v>Low</v>
      </c>
      <c r="N47" s="7"/>
      <c r="S47" s="7"/>
      <c r="U47" s="7"/>
      <c r="V47"/>
      <c r="W47"/>
    </row>
    <row r="48" spans="1:23" x14ac:dyDescent="0.3">
      <c r="A48" s="17">
        <v>45</v>
      </c>
      <c r="B48" t="s">
        <v>96</v>
      </c>
      <c r="C48" t="s">
        <v>57</v>
      </c>
      <c r="D48" t="s">
        <v>54</v>
      </c>
      <c r="E48" t="s">
        <v>99</v>
      </c>
      <c r="F48" t="s">
        <v>92</v>
      </c>
      <c r="G48">
        <v>143</v>
      </c>
      <c r="H48" s="7">
        <v>75</v>
      </c>
      <c r="I48" s="1">
        <v>45389</v>
      </c>
      <c r="J48" s="7">
        <f t="shared" si="5"/>
        <v>10725</v>
      </c>
      <c r="K48" s="2" t="s">
        <v>219</v>
      </c>
      <c r="L48" t="str">
        <f t="shared" si="6"/>
        <v>Tiotropium-Respiratory</v>
      </c>
      <c r="M48" s="2" t="str">
        <f t="shared" si="7"/>
        <v>High</v>
      </c>
      <c r="N48" s="7"/>
      <c r="S48" s="7"/>
      <c r="U48" s="7"/>
      <c r="V48"/>
      <c r="W48"/>
    </row>
    <row r="49" spans="1:23" x14ac:dyDescent="0.3">
      <c r="A49" s="17">
        <v>46</v>
      </c>
      <c r="B49" t="s">
        <v>101</v>
      </c>
      <c r="C49" t="s">
        <v>42</v>
      </c>
      <c r="D49" t="s">
        <v>34</v>
      </c>
      <c r="E49" t="s">
        <v>94</v>
      </c>
      <c r="F49" t="s">
        <v>89</v>
      </c>
      <c r="G49">
        <v>294</v>
      </c>
      <c r="H49" s="7">
        <v>14</v>
      </c>
      <c r="I49" s="1">
        <v>45391</v>
      </c>
      <c r="J49" s="7">
        <f t="shared" si="5"/>
        <v>4116</v>
      </c>
      <c r="K49" s="2" t="s">
        <v>218</v>
      </c>
      <c r="L49" t="str">
        <f t="shared" si="6"/>
        <v>Bisoprolol-Cardiac</v>
      </c>
      <c r="M49" s="2" t="str">
        <f t="shared" si="7"/>
        <v>Low</v>
      </c>
      <c r="N49" s="7"/>
      <c r="S49" s="7"/>
      <c r="U49" s="7"/>
      <c r="V49"/>
      <c r="W49"/>
    </row>
    <row r="50" spans="1:23" x14ac:dyDescent="0.3">
      <c r="A50" s="17">
        <v>47</v>
      </c>
      <c r="B50" t="s">
        <v>144</v>
      </c>
      <c r="C50" t="s">
        <v>31</v>
      </c>
      <c r="D50" t="s">
        <v>26</v>
      </c>
      <c r="E50" t="s">
        <v>88</v>
      </c>
      <c r="F50" t="s">
        <v>103</v>
      </c>
      <c r="G50">
        <v>487</v>
      </c>
      <c r="H50" s="7">
        <v>95</v>
      </c>
      <c r="I50" s="1">
        <v>45393</v>
      </c>
      <c r="J50" s="7">
        <f t="shared" si="5"/>
        <v>46265</v>
      </c>
      <c r="K50" s="2" t="s">
        <v>218</v>
      </c>
      <c r="L50" t="str">
        <f t="shared" si="6"/>
        <v>Insulin Aspart-Anti-Diabetic</v>
      </c>
      <c r="M50" s="2" t="str">
        <f t="shared" si="7"/>
        <v>High</v>
      </c>
      <c r="N50" s="7"/>
      <c r="S50" s="7"/>
      <c r="U50" s="7"/>
      <c r="V50"/>
      <c r="W50"/>
    </row>
    <row r="51" spans="1:23" x14ac:dyDescent="0.3">
      <c r="A51" s="17">
        <v>48</v>
      </c>
      <c r="B51" t="s">
        <v>158</v>
      </c>
      <c r="C51" t="s">
        <v>77</v>
      </c>
      <c r="D51" t="s">
        <v>75</v>
      </c>
      <c r="E51" t="s">
        <v>131</v>
      </c>
      <c r="F51" t="s">
        <v>95</v>
      </c>
      <c r="G51">
        <v>175</v>
      </c>
      <c r="H51" s="7">
        <v>52</v>
      </c>
      <c r="I51" s="1">
        <v>45395</v>
      </c>
      <c r="J51" s="7">
        <f t="shared" si="5"/>
        <v>9100</v>
      </c>
      <c r="K51" s="2" t="s">
        <v>220</v>
      </c>
      <c r="L51" t="str">
        <f t="shared" si="6"/>
        <v>Fluoxetine-Psychiatry</v>
      </c>
      <c r="M51" s="2" t="str">
        <f t="shared" si="7"/>
        <v>Medium</v>
      </c>
      <c r="N51" s="7"/>
      <c r="S51" s="7"/>
      <c r="U51" s="7"/>
      <c r="V51"/>
      <c r="W51"/>
    </row>
    <row r="52" spans="1:23" x14ac:dyDescent="0.3">
      <c r="A52" s="17">
        <v>49</v>
      </c>
      <c r="B52" t="s">
        <v>107</v>
      </c>
      <c r="C52" t="s">
        <v>12</v>
      </c>
      <c r="D52" t="s">
        <v>11</v>
      </c>
      <c r="E52" t="s">
        <v>118</v>
      </c>
      <c r="F52" t="s">
        <v>100</v>
      </c>
      <c r="G52">
        <v>326</v>
      </c>
      <c r="H52" s="7">
        <v>6</v>
      </c>
      <c r="I52" s="1">
        <v>45397</v>
      </c>
      <c r="J52" s="7">
        <f t="shared" si="5"/>
        <v>1956</v>
      </c>
      <c r="K52" s="2" t="s">
        <v>219</v>
      </c>
      <c r="L52" t="str">
        <f t="shared" si="6"/>
        <v>Ibuprofen-Analgesic</v>
      </c>
      <c r="M52" s="2" t="str">
        <f t="shared" si="7"/>
        <v>Low</v>
      </c>
      <c r="N52" s="7"/>
      <c r="S52" s="7"/>
      <c r="U52" s="7"/>
      <c r="V52"/>
      <c r="W52"/>
    </row>
    <row r="53" spans="1:23" x14ac:dyDescent="0.3">
      <c r="A53" s="17">
        <v>50</v>
      </c>
      <c r="B53" t="s">
        <v>98</v>
      </c>
      <c r="C53" t="s">
        <v>64</v>
      </c>
      <c r="D53" t="s">
        <v>61</v>
      </c>
      <c r="E53" t="s">
        <v>159</v>
      </c>
      <c r="F53" t="s">
        <v>92</v>
      </c>
      <c r="G53">
        <v>212</v>
      </c>
      <c r="H53" s="7">
        <v>180</v>
      </c>
      <c r="I53" s="1">
        <v>45399</v>
      </c>
      <c r="J53" s="7">
        <f t="shared" si="5"/>
        <v>38160</v>
      </c>
      <c r="K53" s="2" t="s">
        <v>220</v>
      </c>
      <c r="L53" t="str">
        <f t="shared" si="6"/>
        <v>Iron Sucrose-Vitamin</v>
      </c>
      <c r="M53" s="2" t="str">
        <f t="shared" si="7"/>
        <v>High</v>
      </c>
      <c r="N53" s="7"/>
      <c r="S53" s="7"/>
      <c r="U53" s="7"/>
      <c r="V53"/>
      <c r="W53"/>
    </row>
    <row r="54" spans="1:23" x14ac:dyDescent="0.3">
      <c r="A54" s="17">
        <v>51</v>
      </c>
      <c r="B54" t="s">
        <v>132</v>
      </c>
      <c r="C54" t="s">
        <v>22</v>
      </c>
      <c r="D54" t="s">
        <v>17</v>
      </c>
      <c r="E54" t="s">
        <v>133</v>
      </c>
      <c r="F54" t="s">
        <v>89</v>
      </c>
      <c r="G54">
        <v>399</v>
      </c>
      <c r="H54" s="7">
        <v>90</v>
      </c>
      <c r="I54" s="1">
        <v>45401</v>
      </c>
      <c r="J54" s="7">
        <f t="shared" si="5"/>
        <v>35910</v>
      </c>
      <c r="K54" s="2" t="s">
        <v>218</v>
      </c>
      <c r="L54" t="str">
        <f t="shared" si="6"/>
        <v>Ceftriaxone-Antibiotic</v>
      </c>
      <c r="M54" s="2" t="str">
        <f t="shared" si="7"/>
        <v>High</v>
      </c>
      <c r="N54" s="7"/>
      <c r="S54" s="7"/>
      <c r="U54" s="7"/>
      <c r="V54"/>
      <c r="W54"/>
    </row>
    <row r="55" spans="1:23" x14ac:dyDescent="0.3">
      <c r="A55" s="17">
        <v>52</v>
      </c>
      <c r="B55" t="s">
        <v>127</v>
      </c>
      <c r="C55" t="s">
        <v>41</v>
      </c>
      <c r="D55" t="s">
        <v>34</v>
      </c>
      <c r="E55" t="s">
        <v>94</v>
      </c>
      <c r="F55" t="s">
        <v>97</v>
      </c>
      <c r="G55">
        <v>138</v>
      </c>
      <c r="H55" s="7">
        <v>16</v>
      </c>
      <c r="I55" s="1">
        <v>45403</v>
      </c>
      <c r="J55" s="7">
        <f t="shared" si="5"/>
        <v>2208</v>
      </c>
      <c r="K55" s="2" t="s">
        <v>219</v>
      </c>
      <c r="L55" t="str">
        <f t="shared" si="6"/>
        <v>Ramipril-Cardiac</v>
      </c>
      <c r="M55" s="2" t="str">
        <f t="shared" si="7"/>
        <v>Low</v>
      </c>
      <c r="N55" s="7"/>
      <c r="S55" s="7"/>
      <c r="U55" s="7"/>
      <c r="V55"/>
      <c r="W55"/>
    </row>
    <row r="56" spans="1:23" x14ac:dyDescent="0.3">
      <c r="A56" s="17">
        <v>53</v>
      </c>
      <c r="B56" t="s">
        <v>130</v>
      </c>
      <c r="C56" t="s">
        <v>28</v>
      </c>
      <c r="D56" t="s">
        <v>26</v>
      </c>
      <c r="E56" t="s">
        <v>88</v>
      </c>
      <c r="F56" t="s">
        <v>95</v>
      </c>
      <c r="G56">
        <v>261</v>
      </c>
      <c r="H56" s="7">
        <v>22</v>
      </c>
      <c r="I56" s="1">
        <v>45405</v>
      </c>
      <c r="J56" s="7">
        <f t="shared" si="5"/>
        <v>5742</v>
      </c>
      <c r="K56" s="2" t="s">
        <v>218</v>
      </c>
      <c r="L56" t="str">
        <f t="shared" si="6"/>
        <v>Gliclazide-Anti-Diabetic</v>
      </c>
      <c r="M56" s="2" t="str">
        <f t="shared" si="7"/>
        <v>Medium</v>
      </c>
      <c r="N56" s="7"/>
      <c r="S56" s="7"/>
      <c r="U56" s="7"/>
      <c r="V56"/>
      <c r="W56"/>
    </row>
    <row r="57" spans="1:23" x14ac:dyDescent="0.3">
      <c r="A57" s="17">
        <v>54</v>
      </c>
      <c r="B57" t="s">
        <v>117</v>
      </c>
      <c r="C57" t="s">
        <v>23</v>
      </c>
      <c r="D57" t="s">
        <v>17</v>
      </c>
      <c r="E57" t="s">
        <v>115</v>
      </c>
      <c r="F57" t="s">
        <v>92</v>
      </c>
      <c r="G57">
        <v>412</v>
      </c>
      <c r="H57" s="7">
        <v>40</v>
      </c>
      <c r="I57" s="1">
        <v>45407</v>
      </c>
      <c r="J57" s="7">
        <f t="shared" si="5"/>
        <v>16480</v>
      </c>
      <c r="K57" s="2" t="s">
        <v>220</v>
      </c>
      <c r="L57" t="str">
        <f t="shared" si="6"/>
        <v>Clindamycin-Antibiotic</v>
      </c>
      <c r="M57" s="2" t="str">
        <f t="shared" si="7"/>
        <v>High</v>
      </c>
      <c r="N57" s="7"/>
      <c r="S57" s="7"/>
      <c r="U57" s="7"/>
      <c r="V57"/>
      <c r="W57"/>
    </row>
    <row r="58" spans="1:23" x14ac:dyDescent="0.3">
      <c r="A58" s="17">
        <v>55</v>
      </c>
      <c r="B58" t="s">
        <v>141</v>
      </c>
      <c r="C58" t="s">
        <v>14</v>
      </c>
      <c r="D58" t="s">
        <v>11</v>
      </c>
      <c r="E58" t="s">
        <v>118</v>
      </c>
      <c r="F58" t="s">
        <v>100</v>
      </c>
      <c r="G58">
        <v>164</v>
      </c>
      <c r="H58" s="7">
        <v>17</v>
      </c>
      <c r="I58" s="1">
        <v>45409</v>
      </c>
      <c r="J58" s="7">
        <f t="shared" si="5"/>
        <v>2788</v>
      </c>
      <c r="K58" s="2" t="s">
        <v>218</v>
      </c>
      <c r="L58" t="str">
        <f t="shared" si="6"/>
        <v>Diclofenac-Analgesic</v>
      </c>
      <c r="M58" s="2" t="str">
        <f t="shared" si="7"/>
        <v>Low</v>
      </c>
      <c r="N58" s="7"/>
      <c r="S58" s="7"/>
      <c r="U58" s="7"/>
      <c r="V58"/>
      <c r="W58"/>
    </row>
    <row r="59" spans="1:23" x14ac:dyDescent="0.3">
      <c r="A59" s="17">
        <v>56</v>
      </c>
      <c r="B59" t="s">
        <v>140</v>
      </c>
      <c r="C59" t="s">
        <v>47</v>
      </c>
      <c r="D59" t="s">
        <v>44</v>
      </c>
      <c r="E59" t="s">
        <v>102</v>
      </c>
      <c r="F59" t="s">
        <v>89</v>
      </c>
      <c r="G59">
        <v>283</v>
      </c>
      <c r="H59" s="7">
        <v>18</v>
      </c>
      <c r="I59" s="1">
        <v>45411</v>
      </c>
      <c r="J59" s="7">
        <f t="shared" si="5"/>
        <v>5094</v>
      </c>
      <c r="K59" s="2" t="s">
        <v>219</v>
      </c>
      <c r="L59" t="str">
        <f t="shared" si="6"/>
        <v>Esomeprazole-Gastrointestinal</v>
      </c>
      <c r="M59" s="2" t="str">
        <f t="shared" si="7"/>
        <v>Medium</v>
      </c>
      <c r="N59" s="7"/>
      <c r="S59" s="7"/>
      <c r="U59" s="7"/>
      <c r="V59"/>
      <c r="W59"/>
    </row>
    <row r="60" spans="1:23" x14ac:dyDescent="0.3">
      <c r="A60" s="17">
        <v>57</v>
      </c>
      <c r="B60" t="s">
        <v>104</v>
      </c>
      <c r="C60" t="s">
        <v>52</v>
      </c>
      <c r="D60" t="s">
        <v>50</v>
      </c>
      <c r="E60" t="s">
        <v>105</v>
      </c>
      <c r="F60" t="s">
        <v>106</v>
      </c>
      <c r="G60">
        <v>478</v>
      </c>
      <c r="H60" s="7">
        <v>12</v>
      </c>
      <c r="I60" s="1">
        <v>45413</v>
      </c>
      <c r="J60" s="7">
        <f t="shared" si="5"/>
        <v>5736</v>
      </c>
      <c r="K60" s="2" t="s">
        <v>220</v>
      </c>
      <c r="L60" t="str">
        <f t="shared" si="6"/>
        <v>Fexofenadine-Anti-Allergic</v>
      </c>
      <c r="M60" s="2" t="str">
        <f t="shared" si="7"/>
        <v>Medium</v>
      </c>
      <c r="N60" s="7"/>
      <c r="S60" s="7"/>
      <c r="U60" s="7"/>
      <c r="V60"/>
      <c r="W60"/>
    </row>
    <row r="61" spans="1:23" x14ac:dyDescent="0.3">
      <c r="A61" s="17">
        <v>58</v>
      </c>
      <c r="B61" t="s">
        <v>129</v>
      </c>
      <c r="C61" t="s">
        <v>40</v>
      </c>
      <c r="D61" t="s">
        <v>34</v>
      </c>
      <c r="E61" t="s">
        <v>94</v>
      </c>
      <c r="F61" t="s">
        <v>95</v>
      </c>
      <c r="G61">
        <v>102</v>
      </c>
      <c r="H61" s="7">
        <v>17</v>
      </c>
      <c r="I61" s="1">
        <v>45415</v>
      </c>
      <c r="J61" s="7">
        <f t="shared" si="5"/>
        <v>1734</v>
      </c>
      <c r="K61" s="2" t="s">
        <v>218</v>
      </c>
      <c r="L61" t="str">
        <f t="shared" si="6"/>
        <v>Telmisartan-Cardiac</v>
      </c>
      <c r="M61" s="2" t="str">
        <f t="shared" si="7"/>
        <v>Low</v>
      </c>
      <c r="N61" s="7"/>
      <c r="S61" s="7"/>
      <c r="U61" s="7"/>
      <c r="V61"/>
      <c r="W61"/>
    </row>
    <row r="62" spans="1:23" x14ac:dyDescent="0.3">
      <c r="A62" s="17">
        <v>59</v>
      </c>
      <c r="B62" t="s">
        <v>138</v>
      </c>
      <c r="C62" t="s">
        <v>24</v>
      </c>
      <c r="D62" t="s">
        <v>17</v>
      </c>
      <c r="E62" t="s">
        <v>102</v>
      </c>
      <c r="F62" t="s">
        <v>92</v>
      </c>
      <c r="G62">
        <v>354</v>
      </c>
      <c r="H62" s="7">
        <v>20</v>
      </c>
      <c r="I62" s="1">
        <v>45417</v>
      </c>
      <c r="J62" s="7">
        <f t="shared" si="5"/>
        <v>7080</v>
      </c>
      <c r="K62" s="2" t="s">
        <v>220</v>
      </c>
      <c r="L62" t="str">
        <f t="shared" si="6"/>
        <v>Metronidazole-Antibiotic</v>
      </c>
      <c r="M62" s="2" t="str">
        <f t="shared" si="7"/>
        <v>Medium</v>
      </c>
      <c r="N62" s="7"/>
      <c r="S62" s="7"/>
      <c r="U62" s="7"/>
      <c r="V62"/>
      <c r="W62"/>
    </row>
    <row r="63" spans="1:23" x14ac:dyDescent="0.3">
      <c r="A63" s="17">
        <v>60</v>
      </c>
      <c r="B63" t="s">
        <v>121</v>
      </c>
      <c r="C63" t="s">
        <v>62</v>
      </c>
      <c r="D63" t="s">
        <v>61</v>
      </c>
      <c r="E63" t="s">
        <v>112</v>
      </c>
      <c r="F63" t="s">
        <v>89</v>
      </c>
      <c r="G63">
        <v>199</v>
      </c>
      <c r="H63" s="7">
        <v>24</v>
      </c>
      <c r="I63" s="1">
        <v>45419</v>
      </c>
      <c r="J63" s="7">
        <f t="shared" si="5"/>
        <v>4776</v>
      </c>
      <c r="K63" s="2" t="s">
        <v>219</v>
      </c>
      <c r="L63" t="str">
        <f t="shared" si="6"/>
        <v>Vitamin B12-Vitamin</v>
      </c>
      <c r="M63" s="2" t="str">
        <f t="shared" si="7"/>
        <v>Low</v>
      </c>
      <c r="N63" s="7"/>
      <c r="S63" s="7"/>
      <c r="U63" s="7"/>
      <c r="V63"/>
      <c r="W63"/>
    </row>
    <row r="64" spans="1:23" x14ac:dyDescent="0.3">
      <c r="A64" s="17">
        <v>61</v>
      </c>
      <c r="B64" t="s">
        <v>123</v>
      </c>
      <c r="C64" t="s">
        <v>27</v>
      </c>
      <c r="D64" t="s">
        <v>26</v>
      </c>
      <c r="E64" t="s">
        <v>88</v>
      </c>
      <c r="F64" t="s">
        <v>100</v>
      </c>
      <c r="G64">
        <v>281</v>
      </c>
      <c r="H64" s="7">
        <v>16</v>
      </c>
      <c r="I64" s="1">
        <v>45421</v>
      </c>
      <c r="J64" s="7">
        <f t="shared" si="5"/>
        <v>4496</v>
      </c>
      <c r="K64" s="2" t="s">
        <v>218</v>
      </c>
      <c r="L64" t="str">
        <f t="shared" si="6"/>
        <v>Glimepiride-Anti-Diabetic</v>
      </c>
      <c r="M64" s="2" t="str">
        <f t="shared" si="7"/>
        <v>Low</v>
      </c>
      <c r="N64" s="7"/>
      <c r="S64" s="7"/>
      <c r="U64" s="7"/>
      <c r="V64"/>
      <c r="W64"/>
    </row>
    <row r="65" spans="1:23" x14ac:dyDescent="0.3">
      <c r="A65" s="17">
        <v>62</v>
      </c>
      <c r="B65" t="s">
        <v>143</v>
      </c>
      <c r="C65" t="s">
        <v>78</v>
      </c>
      <c r="D65" t="s">
        <v>79</v>
      </c>
      <c r="E65" t="s">
        <v>125</v>
      </c>
      <c r="F65" t="s">
        <v>92</v>
      </c>
      <c r="G65">
        <v>466</v>
      </c>
      <c r="H65" s="7">
        <v>42</v>
      </c>
      <c r="I65" s="1">
        <v>45423</v>
      </c>
      <c r="J65" s="7">
        <f t="shared" si="5"/>
        <v>19572</v>
      </c>
      <c r="K65" s="2" t="s">
        <v>218</v>
      </c>
      <c r="L65" t="str">
        <f t="shared" si="6"/>
        <v>Tramadol-Pain Management</v>
      </c>
      <c r="M65" s="2" t="str">
        <f t="shared" si="7"/>
        <v>High</v>
      </c>
      <c r="N65" s="7"/>
      <c r="S65" s="7"/>
      <c r="U65" s="7"/>
      <c r="V65"/>
      <c r="W65"/>
    </row>
    <row r="66" spans="1:23" x14ac:dyDescent="0.3">
      <c r="A66" s="17">
        <v>63</v>
      </c>
      <c r="B66" t="s">
        <v>142</v>
      </c>
      <c r="C66" t="s">
        <v>39</v>
      </c>
      <c r="D66" t="s">
        <v>34</v>
      </c>
      <c r="E66" t="s">
        <v>94</v>
      </c>
      <c r="F66" t="s">
        <v>106</v>
      </c>
      <c r="G66">
        <v>132</v>
      </c>
      <c r="H66" s="7">
        <v>10</v>
      </c>
      <c r="I66" s="1">
        <v>45425</v>
      </c>
      <c r="J66" s="7">
        <f t="shared" si="5"/>
        <v>1320</v>
      </c>
      <c r="K66" s="2" t="s">
        <v>220</v>
      </c>
      <c r="L66" t="str">
        <f t="shared" si="6"/>
        <v>Losartan-Cardiac</v>
      </c>
      <c r="M66" s="2" t="str">
        <f t="shared" si="7"/>
        <v>Low</v>
      </c>
      <c r="N66" s="7"/>
      <c r="S66" s="7"/>
      <c r="U66" s="7"/>
      <c r="V66"/>
      <c r="W66"/>
    </row>
    <row r="67" spans="1:23" x14ac:dyDescent="0.3">
      <c r="A67" s="17">
        <v>64</v>
      </c>
      <c r="B67" t="s">
        <v>144</v>
      </c>
      <c r="C67" t="s">
        <v>59</v>
      </c>
      <c r="D67" t="s">
        <v>58</v>
      </c>
      <c r="E67" t="s">
        <v>102</v>
      </c>
      <c r="F67" t="s">
        <v>95</v>
      </c>
      <c r="G67">
        <v>279</v>
      </c>
      <c r="H67" s="7">
        <v>11</v>
      </c>
      <c r="I67" s="1">
        <v>45427</v>
      </c>
      <c r="J67" s="7">
        <f t="shared" si="5"/>
        <v>3069</v>
      </c>
      <c r="K67" s="2" t="s">
        <v>219</v>
      </c>
      <c r="L67" t="str">
        <f t="shared" si="6"/>
        <v>Domperidone-Anti-Emetic</v>
      </c>
      <c r="M67" s="2" t="str">
        <f t="shared" si="7"/>
        <v>Low</v>
      </c>
      <c r="N67" s="7"/>
      <c r="S67" s="7"/>
      <c r="U67" s="7"/>
      <c r="V67"/>
      <c r="W67"/>
    </row>
    <row r="68" spans="1:23" x14ac:dyDescent="0.3">
      <c r="A68" s="17">
        <v>65</v>
      </c>
      <c r="B68" t="s">
        <v>151</v>
      </c>
      <c r="C68" t="s">
        <v>55</v>
      </c>
      <c r="D68" t="s">
        <v>54</v>
      </c>
      <c r="E68" t="s">
        <v>99</v>
      </c>
      <c r="F68" t="s">
        <v>89</v>
      </c>
      <c r="G68">
        <v>395</v>
      </c>
      <c r="H68" s="7">
        <v>28</v>
      </c>
      <c r="I68" s="1">
        <v>45429</v>
      </c>
      <c r="J68" s="7">
        <f t="shared" ref="J68:J99" si="8">H68*G68</f>
        <v>11060</v>
      </c>
      <c r="K68" s="2" t="s">
        <v>220</v>
      </c>
      <c r="L68" t="str">
        <f t="shared" ref="L68:L99" si="9">_xlfn.CONCAT(C68,"-",D68)</f>
        <v>Montelukast-Respiratory</v>
      </c>
      <c r="M68" s="2" t="str">
        <f t="shared" ref="M68:M99" si="10">IF(J68&gt;=10000, "High", IF(J68&gt;=5000,"Medium","Low"))</f>
        <v>High</v>
      </c>
      <c r="N68" s="7"/>
      <c r="S68" s="7"/>
      <c r="U68" s="7"/>
      <c r="V68"/>
      <c r="W68"/>
    </row>
    <row r="69" spans="1:23" x14ac:dyDescent="0.3">
      <c r="A69" s="17">
        <v>66</v>
      </c>
      <c r="B69" t="s">
        <v>154</v>
      </c>
      <c r="C69" t="s">
        <v>84</v>
      </c>
      <c r="D69" t="s">
        <v>85</v>
      </c>
      <c r="E69" t="s">
        <v>115</v>
      </c>
      <c r="F69" t="s">
        <v>92</v>
      </c>
      <c r="G69">
        <v>147</v>
      </c>
      <c r="H69" s="7">
        <v>35</v>
      </c>
      <c r="I69" s="1">
        <v>45431</v>
      </c>
      <c r="J69" s="7">
        <f t="shared" si="8"/>
        <v>5145</v>
      </c>
      <c r="K69" s="2" t="s">
        <v>218</v>
      </c>
      <c r="L69" t="str">
        <f t="shared" si="9"/>
        <v>Fluconazole-Antifungal</v>
      </c>
      <c r="M69" s="2" t="str">
        <f t="shared" si="10"/>
        <v>Medium</v>
      </c>
      <c r="N69" s="7"/>
      <c r="S69" s="7"/>
      <c r="U69" s="7"/>
      <c r="V69"/>
      <c r="W69"/>
    </row>
    <row r="70" spans="1:23" x14ac:dyDescent="0.3">
      <c r="A70" s="17">
        <v>67</v>
      </c>
      <c r="B70" t="s">
        <v>153</v>
      </c>
      <c r="C70" t="s">
        <v>13</v>
      </c>
      <c r="D70" t="s">
        <v>11</v>
      </c>
      <c r="E70" t="s">
        <v>94</v>
      </c>
      <c r="F70" t="s">
        <v>100</v>
      </c>
      <c r="G70">
        <v>268</v>
      </c>
      <c r="H70" s="7">
        <v>15</v>
      </c>
      <c r="I70" s="1">
        <v>45433</v>
      </c>
      <c r="J70" s="7">
        <f t="shared" si="8"/>
        <v>4020</v>
      </c>
      <c r="K70" s="2" t="s">
        <v>219</v>
      </c>
      <c r="L70" t="str">
        <f t="shared" si="9"/>
        <v>Aspirin-Analgesic</v>
      </c>
      <c r="M70" s="2" t="str">
        <f t="shared" si="10"/>
        <v>Low</v>
      </c>
      <c r="N70" s="7"/>
      <c r="S70" s="7"/>
      <c r="U70" s="7"/>
      <c r="V70"/>
      <c r="W70"/>
    </row>
    <row r="71" spans="1:23" x14ac:dyDescent="0.3">
      <c r="A71" s="17">
        <v>68</v>
      </c>
      <c r="B71" t="s">
        <v>155</v>
      </c>
      <c r="C71" t="s">
        <v>83</v>
      </c>
      <c r="D71" t="s">
        <v>82</v>
      </c>
      <c r="E71" t="s">
        <v>91</v>
      </c>
      <c r="F71" t="s">
        <v>95</v>
      </c>
      <c r="G71">
        <v>401</v>
      </c>
      <c r="H71" s="7">
        <v>120</v>
      </c>
      <c r="I71" s="1">
        <v>45435</v>
      </c>
      <c r="J71" s="7">
        <f t="shared" si="8"/>
        <v>48120</v>
      </c>
      <c r="K71" s="2" t="s">
        <v>218</v>
      </c>
      <c r="L71" t="str">
        <f t="shared" si="9"/>
        <v>Oseltamivir-Antiviral</v>
      </c>
      <c r="M71" s="2" t="str">
        <f t="shared" si="10"/>
        <v>High</v>
      </c>
      <c r="N71" s="7"/>
      <c r="S71" s="7"/>
      <c r="U71" s="7"/>
      <c r="V71"/>
      <c r="W71"/>
    </row>
    <row r="72" spans="1:23" x14ac:dyDescent="0.3">
      <c r="A72" s="17">
        <v>69</v>
      </c>
      <c r="B72" t="s">
        <v>156</v>
      </c>
      <c r="C72" t="s">
        <v>74</v>
      </c>
      <c r="D72" t="s">
        <v>75</v>
      </c>
      <c r="E72" t="s">
        <v>131</v>
      </c>
      <c r="F72" t="s">
        <v>89</v>
      </c>
      <c r="G72">
        <v>183</v>
      </c>
      <c r="H72" s="7">
        <v>50</v>
      </c>
      <c r="I72" s="1">
        <v>45437</v>
      </c>
      <c r="J72" s="7">
        <f t="shared" si="8"/>
        <v>9150</v>
      </c>
      <c r="K72" s="2" t="s">
        <v>220</v>
      </c>
      <c r="L72" t="str">
        <f t="shared" si="9"/>
        <v>Sertraline-Psychiatry</v>
      </c>
      <c r="M72" s="2" t="str">
        <f t="shared" si="10"/>
        <v>Medium</v>
      </c>
      <c r="N72" s="7"/>
      <c r="S72" s="7"/>
      <c r="U72" s="7"/>
      <c r="V72"/>
      <c r="W72"/>
    </row>
    <row r="73" spans="1:23" x14ac:dyDescent="0.3">
      <c r="A73" s="17">
        <v>70</v>
      </c>
      <c r="B73" t="s">
        <v>157</v>
      </c>
      <c r="C73" t="s">
        <v>21</v>
      </c>
      <c r="D73" t="s">
        <v>17</v>
      </c>
      <c r="E73" t="s">
        <v>133</v>
      </c>
      <c r="F73" t="s">
        <v>92</v>
      </c>
      <c r="G73">
        <v>312</v>
      </c>
      <c r="H73" s="7">
        <v>28</v>
      </c>
      <c r="I73" s="1">
        <v>45439</v>
      </c>
      <c r="J73" s="7">
        <f t="shared" si="8"/>
        <v>8736</v>
      </c>
      <c r="K73" s="2" t="s">
        <v>218</v>
      </c>
      <c r="L73" t="str">
        <f t="shared" si="9"/>
        <v>Cefixime-Antibiotic</v>
      </c>
      <c r="M73" s="2" t="str">
        <f t="shared" si="10"/>
        <v>Medium</v>
      </c>
      <c r="N73" s="7"/>
      <c r="S73" s="7"/>
      <c r="U73" s="7"/>
      <c r="V73"/>
      <c r="W73"/>
    </row>
    <row r="74" spans="1:23" x14ac:dyDescent="0.3">
      <c r="A74" s="17">
        <v>71</v>
      </c>
      <c r="B74" t="s">
        <v>107</v>
      </c>
      <c r="C74" t="s">
        <v>65</v>
      </c>
      <c r="D74" t="s">
        <v>61</v>
      </c>
      <c r="E74" t="s">
        <v>118</v>
      </c>
      <c r="F74" t="s">
        <v>106</v>
      </c>
      <c r="G74">
        <v>145</v>
      </c>
      <c r="H74" s="7">
        <v>11</v>
      </c>
      <c r="I74" s="1">
        <v>45441</v>
      </c>
      <c r="J74" s="7">
        <f t="shared" si="8"/>
        <v>1595</v>
      </c>
      <c r="K74" s="2" t="s">
        <v>219</v>
      </c>
      <c r="L74" t="str">
        <f t="shared" si="9"/>
        <v>Calcium Carbonate-Vitamin</v>
      </c>
      <c r="M74" s="2" t="str">
        <f t="shared" si="10"/>
        <v>Low</v>
      </c>
      <c r="N74" s="7"/>
      <c r="S74" s="7"/>
      <c r="U74" s="7"/>
      <c r="V74"/>
      <c r="W74"/>
    </row>
    <row r="75" spans="1:23" x14ac:dyDescent="0.3">
      <c r="A75" s="17">
        <v>72</v>
      </c>
      <c r="B75" t="s">
        <v>160</v>
      </c>
      <c r="C75" t="s">
        <v>45</v>
      </c>
      <c r="D75" t="s">
        <v>44</v>
      </c>
      <c r="E75" t="s">
        <v>102</v>
      </c>
      <c r="F75" t="s">
        <v>89</v>
      </c>
      <c r="G75">
        <v>276</v>
      </c>
      <c r="H75" s="7">
        <v>14</v>
      </c>
      <c r="I75" s="1">
        <v>45443</v>
      </c>
      <c r="J75" s="7">
        <f t="shared" si="8"/>
        <v>3864</v>
      </c>
      <c r="K75" s="2" t="s">
        <v>220</v>
      </c>
      <c r="L75" t="str">
        <f t="shared" si="9"/>
        <v>Pantoprazole-Gastrointestinal</v>
      </c>
      <c r="M75" s="2" t="str">
        <f t="shared" si="10"/>
        <v>Low</v>
      </c>
      <c r="N75" s="7"/>
      <c r="S75" s="7"/>
      <c r="U75" s="7"/>
      <c r="V75"/>
      <c r="W75"/>
    </row>
    <row r="76" spans="1:23" x14ac:dyDescent="0.3">
      <c r="A76" s="17">
        <v>73</v>
      </c>
      <c r="B76" t="s">
        <v>161</v>
      </c>
      <c r="C76" t="s">
        <v>70</v>
      </c>
      <c r="D76" t="s">
        <v>71</v>
      </c>
      <c r="E76" t="s">
        <v>112</v>
      </c>
      <c r="F76" t="s">
        <v>92</v>
      </c>
      <c r="G76">
        <v>431</v>
      </c>
      <c r="H76" s="7">
        <v>46</v>
      </c>
      <c r="I76" s="1">
        <v>45445</v>
      </c>
      <c r="J76" s="7">
        <f t="shared" si="8"/>
        <v>19826</v>
      </c>
      <c r="K76" s="2" t="s">
        <v>218</v>
      </c>
      <c r="L76" t="str">
        <f t="shared" si="9"/>
        <v>Levetiracetam-Neurology</v>
      </c>
      <c r="M76" s="2" t="str">
        <f t="shared" si="10"/>
        <v>High</v>
      </c>
      <c r="N76" s="7"/>
      <c r="S76" s="7"/>
      <c r="U76" s="7"/>
      <c r="V76"/>
      <c r="W76"/>
    </row>
    <row r="77" spans="1:23" x14ac:dyDescent="0.3">
      <c r="A77" s="17">
        <v>74</v>
      </c>
      <c r="B77" t="s">
        <v>162</v>
      </c>
      <c r="C77" t="s">
        <v>18</v>
      </c>
      <c r="D77" t="s">
        <v>17</v>
      </c>
      <c r="E77" t="s">
        <v>91</v>
      </c>
      <c r="F77" t="s">
        <v>139</v>
      </c>
      <c r="G77">
        <v>168</v>
      </c>
      <c r="H77" s="7">
        <v>22</v>
      </c>
      <c r="I77" s="1">
        <v>45446</v>
      </c>
      <c r="J77" s="7">
        <f t="shared" si="8"/>
        <v>3696</v>
      </c>
      <c r="K77" s="2" t="s">
        <v>220</v>
      </c>
      <c r="L77" t="str">
        <f t="shared" si="9"/>
        <v>Amoxicillin-Antibiotic</v>
      </c>
      <c r="M77" s="2" t="str">
        <f t="shared" si="10"/>
        <v>Low</v>
      </c>
      <c r="N77" s="7"/>
      <c r="S77" s="7"/>
      <c r="U77" s="7"/>
      <c r="V77"/>
      <c r="W77"/>
    </row>
    <row r="78" spans="1:23" x14ac:dyDescent="0.3">
      <c r="A78" s="17">
        <v>75</v>
      </c>
      <c r="B78" t="s">
        <v>163</v>
      </c>
      <c r="C78" t="s">
        <v>57</v>
      </c>
      <c r="D78" t="s">
        <v>54</v>
      </c>
      <c r="E78" t="s">
        <v>99</v>
      </c>
      <c r="F78" t="s">
        <v>95</v>
      </c>
      <c r="G78">
        <v>295</v>
      </c>
      <c r="H78" s="7">
        <v>78</v>
      </c>
      <c r="I78" s="1">
        <v>45447</v>
      </c>
      <c r="J78" s="7">
        <f t="shared" si="8"/>
        <v>23010</v>
      </c>
      <c r="K78" s="2" t="s">
        <v>219</v>
      </c>
      <c r="L78" t="str">
        <f t="shared" si="9"/>
        <v>Tiotropium-Respiratory</v>
      </c>
      <c r="M78" s="2" t="str">
        <f t="shared" si="10"/>
        <v>High</v>
      </c>
      <c r="N78" s="7"/>
      <c r="S78" s="7"/>
      <c r="U78" s="7"/>
      <c r="V78"/>
      <c r="W78"/>
    </row>
    <row r="79" spans="1:23" x14ac:dyDescent="0.3">
      <c r="A79" s="17">
        <v>76</v>
      </c>
      <c r="B79" t="s">
        <v>164</v>
      </c>
      <c r="C79" t="s">
        <v>27</v>
      </c>
      <c r="D79" t="s">
        <v>26</v>
      </c>
      <c r="E79" t="s">
        <v>88</v>
      </c>
      <c r="F79" t="s">
        <v>106</v>
      </c>
      <c r="G79">
        <v>387</v>
      </c>
      <c r="H79" s="7">
        <v>17</v>
      </c>
      <c r="I79" s="1">
        <v>45448</v>
      </c>
      <c r="J79" s="7">
        <f t="shared" si="8"/>
        <v>6579</v>
      </c>
      <c r="K79" s="2" t="s">
        <v>218</v>
      </c>
      <c r="L79" t="str">
        <f t="shared" si="9"/>
        <v>Glimepiride-Anti-Diabetic</v>
      </c>
      <c r="M79" s="2" t="str">
        <f t="shared" si="10"/>
        <v>Medium</v>
      </c>
      <c r="N79" s="7"/>
      <c r="S79" s="7"/>
      <c r="U79" s="7"/>
      <c r="V79"/>
      <c r="W79"/>
    </row>
    <row r="80" spans="1:23" x14ac:dyDescent="0.3">
      <c r="A80" s="17">
        <v>77</v>
      </c>
      <c r="B80" t="s">
        <v>165</v>
      </c>
      <c r="C80" t="s">
        <v>43</v>
      </c>
      <c r="D80" t="s">
        <v>44</v>
      </c>
      <c r="E80" t="s">
        <v>102</v>
      </c>
      <c r="F80" t="s">
        <v>100</v>
      </c>
      <c r="G80">
        <v>153</v>
      </c>
      <c r="H80" s="7">
        <v>13</v>
      </c>
      <c r="I80" s="1">
        <v>45449</v>
      </c>
      <c r="J80" s="7">
        <f t="shared" si="8"/>
        <v>1989</v>
      </c>
      <c r="K80" s="2" t="s">
        <v>218</v>
      </c>
      <c r="L80" t="str">
        <f t="shared" si="9"/>
        <v>Omeprazole-Gastrointestinal</v>
      </c>
      <c r="M80" s="2" t="str">
        <f t="shared" si="10"/>
        <v>Low</v>
      </c>
      <c r="N80" s="7"/>
      <c r="S80" s="7"/>
      <c r="U80" s="7"/>
      <c r="V80"/>
      <c r="W80"/>
    </row>
    <row r="81" spans="1:23" x14ac:dyDescent="0.3">
      <c r="A81" s="17">
        <v>78</v>
      </c>
      <c r="B81" t="s">
        <v>166</v>
      </c>
      <c r="C81" t="s">
        <v>78</v>
      </c>
      <c r="D81" t="s">
        <v>79</v>
      </c>
      <c r="E81" t="s">
        <v>125</v>
      </c>
      <c r="F81" t="s">
        <v>92</v>
      </c>
      <c r="G81">
        <v>328</v>
      </c>
      <c r="H81" s="7">
        <v>44</v>
      </c>
      <c r="I81" s="1">
        <v>45450</v>
      </c>
      <c r="J81" s="7">
        <f t="shared" si="8"/>
        <v>14432</v>
      </c>
      <c r="K81" s="2" t="s">
        <v>220</v>
      </c>
      <c r="L81" t="str">
        <f t="shared" si="9"/>
        <v>Tramadol-Pain Management</v>
      </c>
      <c r="M81" s="2" t="str">
        <f t="shared" si="10"/>
        <v>High</v>
      </c>
      <c r="N81" s="7"/>
      <c r="S81" s="7"/>
      <c r="U81" s="7"/>
      <c r="V81"/>
      <c r="W81"/>
    </row>
    <row r="82" spans="1:23" x14ac:dyDescent="0.3">
      <c r="A82" s="17">
        <v>79</v>
      </c>
      <c r="B82" t="s">
        <v>167</v>
      </c>
      <c r="C82" t="s">
        <v>39</v>
      </c>
      <c r="D82" t="s">
        <v>34</v>
      </c>
      <c r="E82" t="s">
        <v>94</v>
      </c>
      <c r="F82" t="s">
        <v>89</v>
      </c>
      <c r="G82">
        <v>476</v>
      </c>
      <c r="H82" s="7">
        <v>10</v>
      </c>
      <c r="I82" s="1">
        <v>45451</v>
      </c>
      <c r="J82" s="7">
        <f t="shared" si="8"/>
        <v>4760</v>
      </c>
      <c r="K82" s="2" t="s">
        <v>219</v>
      </c>
      <c r="L82" t="str">
        <f t="shared" si="9"/>
        <v>Losartan-Cardiac</v>
      </c>
      <c r="M82" s="2" t="str">
        <f t="shared" si="10"/>
        <v>Low</v>
      </c>
      <c r="N82" s="7"/>
      <c r="S82" s="7"/>
      <c r="U82" s="7"/>
      <c r="V82"/>
      <c r="W82"/>
    </row>
    <row r="83" spans="1:23" x14ac:dyDescent="0.3">
      <c r="A83" s="17">
        <v>80</v>
      </c>
      <c r="B83" t="s">
        <v>168</v>
      </c>
      <c r="C83" t="s">
        <v>52</v>
      </c>
      <c r="D83" t="s">
        <v>50</v>
      </c>
      <c r="E83" t="s">
        <v>105</v>
      </c>
      <c r="F83" t="s">
        <v>126</v>
      </c>
      <c r="G83">
        <v>109</v>
      </c>
      <c r="H83" s="7">
        <v>12</v>
      </c>
      <c r="I83" s="1">
        <v>45452</v>
      </c>
      <c r="J83" s="7">
        <f t="shared" si="8"/>
        <v>1308</v>
      </c>
      <c r="K83" s="2" t="s">
        <v>220</v>
      </c>
      <c r="L83" t="str">
        <f t="shared" si="9"/>
        <v>Fexofenadine-Anti-Allergic</v>
      </c>
      <c r="M83" s="2" t="str">
        <f t="shared" si="10"/>
        <v>Low</v>
      </c>
      <c r="N83" s="7"/>
      <c r="S83" s="7"/>
      <c r="U83" s="7"/>
      <c r="V83"/>
      <c r="W83"/>
    </row>
    <row r="84" spans="1:23" x14ac:dyDescent="0.3">
      <c r="A84" s="17">
        <v>81</v>
      </c>
      <c r="B84" t="s">
        <v>169</v>
      </c>
      <c r="C84" t="s">
        <v>31</v>
      </c>
      <c r="D84" t="s">
        <v>26</v>
      </c>
      <c r="E84" t="s">
        <v>88</v>
      </c>
      <c r="F84" t="s">
        <v>95</v>
      </c>
      <c r="G84">
        <v>287</v>
      </c>
      <c r="H84" s="7">
        <v>98</v>
      </c>
      <c r="I84" s="1">
        <v>45453</v>
      </c>
      <c r="J84" s="7">
        <f t="shared" si="8"/>
        <v>28126</v>
      </c>
      <c r="K84" s="2" t="s">
        <v>218</v>
      </c>
      <c r="L84" t="str">
        <f t="shared" si="9"/>
        <v>Insulin Aspart-Anti-Diabetic</v>
      </c>
      <c r="M84" s="2" t="str">
        <f t="shared" si="10"/>
        <v>High</v>
      </c>
      <c r="N84" s="7"/>
      <c r="S84" s="7"/>
      <c r="U84" s="7"/>
      <c r="V84"/>
      <c r="W84"/>
    </row>
    <row r="85" spans="1:23" x14ac:dyDescent="0.3">
      <c r="A85" s="17">
        <v>82</v>
      </c>
      <c r="B85" t="s">
        <v>170</v>
      </c>
      <c r="C85" t="s">
        <v>22</v>
      </c>
      <c r="D85" t="s">
        <v>17</v>
      </c>
      <c r="E85" t="s">
        <v>133</v>
      </c>
      <c r="F85" t="s">
        <v>119</v>
      </c>
      <c r="G85">
        <v>198</v>
      </c>
      <c r="H85" s="7">
        <v>92</v>
      </c>
      <c r="I85" s="1">
        <v>45454</v>
      </c>
      <c r="J85" s="7">
        <f t="shared" si="8"/>
        <v>18216</v>
      </c>
      <c r="K85" s="2" t="s">
        <v>219</v>
      </c>
      <c r="L85" t="str">
        <f t="shared" si="9"/>
        <v>Ceftriaxone-Antibiotic</v>
      </c>
      <c r="M85" s="2" t="str">
        <f t="shared" si="10"/>
        <v>High</v>
      </c>
      <c r="N85" s="7"/>
      <c r="S85" s="7"/>
      <c r="U85" s="7"/>
      <c r="V85"/>
      <c r="W85"/>
    </row>
    <row r="86" spans="1:23" x14ac:dyDescent="0.3">
      <c r="A86" s="17">
        <v>83</v>
      </c>
      <c r="B86" t="s">
        <v>171</v>
      </c>
      <c r="C86" t="s">
        <v>60</v>
      </c>
      <c r="D86" t="s">
        <v>61</v>
      </c>
      <c r="E86" t="s">
        <v>118</v>
      </c>
      <c r="F86" t="s">
        <v>97</v>
      </c>
      <c r="G86">
        <v>364</v>
      </c>
      <c r="H86" s="7">
        <v>11</v>
      </c>
      <c r="I86" s="1">
        <v>45455</v>
      </c>
      <c r="J86" s="7">
        <f t="shared" si="8"/>
        <v>4004</v>
      </c>
      <c r="K86" s="2" t="s">
        <v>218</v>
      </c>
      <c r="L86" t="str">
        <f t="shared" si="9"/>
        <v>Vitamin D3-Vitamin</v>
      </c>
      <c r="M86" s="2" t="str">
        <f t="shared" si="10"/>
        <v>Low</v>
      </c>
      <c r="N86" s="7"/>
      <c r="S86" s="7"/>
      <c r="U86" s="7"/>
      <c r="V86"/>
      <c r="W86"/>
    </row>
    <row r="87" spans="1:23" x14ac:dyDescent="0.3">
      <c r="A87" s="17">
        <v>84</v>
      </c>
      <c r="B87" t="s">
        <v>172</v>
      </c>
      <c r="C87" t="s">
        <v>14</v>
      </c>
      <c r="D87" t="s">
        <v>11</v>
      </c>
      <c r="E87" t="s">
        <v>118</v>
      </c>
      <c r="F87" t="s">
        <v>100</v>
      </c>
      <c r="G87">
        <v>129</v>
      </c>
      <c r="H87" s="7">
        <v>7</v>
      </c>
      <c r="I87" s="1">
        <v>45456</v>
      </c>
      <c r="J87" s="7">
        <f t="shared" si="8"/>
        <v>903</v>
      </c>
      <c r="K87" s="2" t="s">
        <v>220</v>
      </c>
      <c r="L87" t="str">
        <f t="shared" si="9"/>
        <v>Diclofenac-Analgesic</v>
      </c>
      <c r="M87" s="2" t="str">
        <f t="shared" si="10"/>
        <v>Low</v>
      </c>
      <c r="N87" s="7"/>
      <c r="S87" s="7"/>
      <c r="U87" s="7"/>
      <c r="V87"/>
      <c r="W87"/>
    </row>
    <row r="88" spans="1:23" x14ac:dyDescent="0.3">
      <c r="A88" s="17">
        <v>85</v>
      </c>
      <c r="B88" t="s">
        <v>173</v>
      </c>
      <c r="C88" t="s">
        <v>74</v>
      </c>
      <c r="D88" t="s">
        <v>75</v>
      </c>
      <c r="E88" t="s">
        <v>131</v>
      </c>
      <c r="F88" t="s">
        <v>92</v>
      </c>
      <c r="G88">
        <v>301</v>
      </c>
      <c r="H88" s="7">
        <v>52</v>
      </c>
      <c r="I88" s="1">
        <v>45457</v>
      </c>
      <c r="J88" s="7">
        <f t="shared" si="8"/>
        <v>15652</v>
      </c>
      <c r="K88" s="2" t="s">
        <v>218</v>
      </c>
      <c r="L88" t="str">
        <f t="shared" si="9"/>
        <v>Sertraline-Psychiatry</v>
      </c>
      <c r="M88" s="2" t="str">
        <f t="shared" si="10"/>
        <v>High</v>
      </c>
      <c r="N88" s="7"/>
      <c r="S88" s="7"/>
      <c r="U88" s="7"/>
      <c r="V88"/>
      <c r="W88"/>
    </row>
    <row r="89" spans="1:23" x14ac:dyDescent="0.3">
      <c r="A89" s="17">
        <v>86</v>
      </c>
      <c r="B89" t="s">
        <v>174</v>
      </c>
      <c r="C89" t="s">
        <v>56</v>
      </c>
      <c r="D89" t="s">
        <v>54</v>
      </c>
      <c r="E89" t="s">
        <v>99</v>
      </c>
      <c r="F89" t="s">
        <v>137</v>
      </c>
      <c r="G89">
        <v>415</v>
      </c>
      <c r="H89" s="7">
        <v>68</v>
      </c>
      <c r="I89" s="1">
        <v>45458</v>
      </c>
      <c r="J89" s="7">
        <f t="shared" si="8"/>
        <v>28220</v>
      </c>
      <c r="K89" s="2" t="s">
        <v>219</v>
      </c>
      <c r="L89" t="str">
        <f t="shared" si="9"/>
        <v>Budesonide-Respiratory</v>
      </c>
      <c r="M89" s="2" t="str">
        <f t="shared" si="10"/>
        <v>High</v>
      </c>
      <c r="N89" s="7"/>
      <c r="S89" s="7"/>
      <c r="U89" s="7"/>
      <c r="V89"/>
      <c r="W89"/>
    </row>
    <row r="90" spans="1:23" x14ac:dyDescent="0.3">
      <c r="A90" s="17">
        <v>87</v>
      </c>
      <c r="B90" t="s">
        <v>175</v>
      </c>
      <c r="C90" t="s">
        <v>41</v>
      </c>
      <c r="D90" t="s">
        <v>34</v>
      </c>
      <c r="E90" t="s">
        <v>94</v>
      </c>
      <c r="F90" t="s">
        <v>106</v>
      </c>
      <c r="G90">
        <v>172</v>
      </c>
      <c r="H90" s="7">
        <v>15</v>
      </c>
      <c r="I90" s="1">
        <v>45459</v>
      </c>
      <c r="J90" s="7">
        <f t="shared" si="8"/>
        <v>2580</v>
      </c>
      <c r="K90" s="2" t="s">
        <v>220</v>
      </c>
      <c r="L90" t="str">
        <f t="shared" si="9"/>
        <v>Ramipril-Cardiac</v>
      </c>
      <c r="M90" s="2" t="str">
        <f t="shared" si="10"/>
        <v>Low</v>
      </c>
      <c r="N90" s="7"/>
      <c r="S90" s="7"/>
      <c r="U90" s="7"/>
      <c r="V90"/>
      <c r="W90"/>
    </row>
    <row r="91" spans="1:23" x14ac:dyDescent="0.3">
      <c r="A91" s="17">
        <v>88</v>
      </c>
      <c r="B91" t="s">
        <v>176</v>
      </c>
      <c r="C91" t="s">
        <v>84</v>
      </c>
      <c r="D91" t="s">
        <v>85</v>
      </c>
      <c r="E91" t="s">
        <v>115</v>
      </c>
      <c r="F91" t="s">
        <v>89</v>
      </c>
      <c r="G91">
        <v>249</v>
      </c>
      <c r="H91" s="7">
        <v>36</v>
      </c>
      <c r="I91" s="1">
        <v>45460</v>
      </c>
      <c r="J91" s="7">
        <f t="shared" si="8"/>
        <v>8964</v>
      </c>
      <c r="K91" s="2" t="s">
        <v>218</v>
      </c>
      <c r="L91" t="str">
        <f t="shared" si="9"/>
        <v>Fluconazole-Antifungal</v>
      </c>
      <c r="M91" s="2" t="str">
        <f t="shared" si="10"/>
        <v>Medium</v>
      </c>
      <c r="N91" s="7"/>
      <c r="S91" s="7"/>
      <c r="U91" s="7"/>
      <c r="V91"/>
      <c r="W91"/>
    </row>
    <row r="92" spans="1:23" x14ac:dyDescent="0.3">
      <c r="A92" s="17">
        <v>89</v>
      </c>
      <c r="B92" t="s">
        <v>177</v>
      </c>
      <c r="C92" t="s">
        <v>28</v>
      </c>
      <c r="D92" t="s">
        <v>26</v>
      </c>
      <c r="E92" t="s">
        <v>88</v>
      </c>
      <c r="F92" t="s">
        <v>103</v>
      </c>
      <c r="G92">
        <v>392</v>
      </c>
      <c r="H92" s="7">
        <v>21</v>
      </c>
      <c r="I92" s="1">
        <v>45461</v>
      </c>
      <c r="J92" s="7">
        <f t="shared" si="8"/>
        <v>8232</v>
      </c>
      <c r="K92" s="2" t="s">
        <v>220</v>
      </c>
      <c r="L92" t="str">
        <f t="shared" si="9"/>
        <v>Gliclazide-Anti-Diabetic</v>
      </c>
      <c r="M92" s="2" t="str">
        <f t="shared" si="10"/>
        <v>Medium</v>
      </c>
      <c r="N92" s="7"/>
      <c r="S92" s="7"/>
      <c r="U92" s="7"/>
      <c r="V92"/>
      <c r="W92"/>
    </row>
    <row r="93" spans="1:23" x14ac:dyDescent="0.3">
      <c r="A93" s="17">
        <v>90</v>
      </c>
      <c r="B93" t="s">
        <v>178</v>
      </c>
      <c r="C93" t="s">
        <v>16</v>
      </c>
      <c r="D93" t="s">
        <v>17</v>
      </c>
      <c r="E93" t="s">
        <v>91</v>
      </c>
      <c r="F93" t="s">
        <v>92</v>
      </c>
      <c r="G93">
        <v>114</v>
      </c>
      <c r="H93" s="7">
        <v>26</v>
      </c>
      <c r="I93" s="1">
        <v>45462</v>
      </c>
      <c r="J93" s="7">
        <f t="shared" si="8"/>
        <v>2964</v>
      </c>
      <c r="K93" s="2" t="s">
        <v>219</v>
      </c>
      <c r="L93" t="str">
        <f t="shared" si="9"/>
        <v>Azithromycin-Antibiotic</v>
      </c>
      <c r="M93" s="2" t="str">
        <f t="shared" si="10"/>
        <v>Low</v>
      </c>
      <c r="N93" s="7"/>
      <c r="S93" s="7"/>
      <c r="U93" s="7"/>
      <c r="V93"/>
      <c r="W93"/>
    </row>
    <row r="94" spans="1:23" x14ac:dyDescent="0.3">
      <c r="A94" s="17">
        <v>91</v>
      </c>
      <c r="B94" t="s">
        <v>179</v>
      </c>
      <c r="C94" t="s">
        <v>65</v>
      </c>
      <c r="D94" t="s">
        <v>61</v>
      </c>
      <c r="E94" t="s">
        <v>118</v>
      </c>
      <c r="F94" t="s">
        <v>139</v>
      </c>
      <c r="G94">
        <v>263</v>
      </c>
      <c r="H94" s="7">
        <v>13</v>
      </c>
      <c r="I94" s="1">
        <v>45463</v>
      </c>
      <c r="J94" s="7">
        <f t="shared" si="8"/>
        <v>3419</v>
      </c>
      <c r="K94" s="2" t="s">
        <v>218</v>
      </c>
      <c r="L94" t="str">
        <f t="shared" si="9"/>
        <v>Calcium Carbonate-Vitamin</v>
      </c>
      <c r="M94" s="2" t="str">
        <f t="shared" si="10"/>
        <v>Low</v>
      </c>
      <c r="N94" s="7"/>
      <c r="S94" s="7"/>
      <c r="U94" s="7"/>
      <c r="V94"/>
      <c r="W94"/>
    </row>
    <row r="95" spans="1:23" x14ac:dyDescent="0.3">
      <c r="A95" s="17">
        <v>92</v>
      </c>
      <c r="B95" t="s">
        <v>180</v>
      </c>
      <c r="C95" t="s">
        <v>72</v>
      </c>
      <c r="D95" t="s">
        <v>71</v>
      </c>
      <c r="E95" t="s">
        <v>112</v>
      </c>
      <c r="F95" t="s">
        <v>95</v>
      </c>
      <c r="G95">
        <v>347</v>
      </c>
      <c r="H95" s="7">
        <v>39</v>
      </c>
      <c r="I95" s="1">
        <v>45464</v>
      </c>
      <c r="J95" s="7">
        <f t="shared" si="8"/>
        <v>13533</v>
      </c>
      <c r="K95" s="2" t="s">
        <v>219</v>
      </c>
      <c r="L95" t="str">
        <f t="shared" si="9"/>
        <v>Phenytoin-Neurology</v>
      </c>
      <c r="M95" s="2" t="str">
        <f t="shared" si="10"/>
        <v>High</v>
      </c>
      <c r="N95" s="7"/>
      <c r="S95" s="7"/>
      <c r="U95" s="7"/>
      <c r="V95"/>
      <c r="W95"/>
    </row>
    <row r="96" spans="1:23" x14ac:dyDescent="0.3">
      <c r="A96" s="17">
        <v>93</v>
      </c>
      <c r="B96" t="s">
        <v>181</v>
      </c>
      <c r="C96" t="s">
        <v>51</v>
      </c>
      <c r="D96" t="s">
        <v>50</v>
      </c>
      <c r="E96" t="s">
        <v>105</v>
      </c>
      <c r="F96" t="s">
        <v>113</v>
      </c>
      <c r="G96">
        <v>155</v>
      </c>
      <c r="H96" s="7">
        <v>5</v>
      </c>
      <c r="I96" s="1">
        <v>45465</v>
      </c>
      <c r="J96" s="7">
        <f t="shared" si="8"/>
        <v>775</v>
      </c>
      <c r="K96" s="2" t="s">
        <v>220</v>
      </c>
      <c r="L96" t="str">
        <f t="shared" si="9"/>
        <v>Cetirizine-Anti-Allergic</v>
      </c>
      <c r="M96" s="2" t="str">
        <f t="shared" si="10"/>
        <v>Low</v>
      </c>
      <c r="N96" s="7"/>
      <c r="S96" s="7"/>
      <c r="U96" s="7"/>
      <c r="V96"/>
      <c r="W96"/>
    </row>
    <row r="97" spans="1:23" x14ac:dyDescent="0.3">
      <c r="A97" s="17">
        <v>94</v>
      </c>
      <c r="B97" t="s">
        <v>182</v>
      </c>
      <c r="C97" t="s">
        <v>37</v>
      </c>
      <c r="D97" t="s">
        <v>34</v>
      </c>
      <c r="E97" t="s">
        <v>94</v>
      </c>
      <c r="F97" t="s">
        <v>89</v>
      </c>
      <c r="G97">
        <v>312</v>
      </c>
      <c r="H97" s="7">
        <v>21</v>
      </c>
      <c r="I97" s="1">
        <v>45466</v>
      </c>
      <c r="J97" s="7">
        <f t="shared" si="8"/>
        <v>6552</v>
      </c>
      <c r="K97" s="2" t="s">
        <v>218</v>
      </c>
      <c r="L97" t="str">
        <f t="shared" si="9"/>
        <v>Clopidogrel-Cardiac</v>
      </c>
      <c r="M97" s="2" t="str">
        <f t="shared" si="10"/>
        <v>Medium</v>
      </c>
      <c r="N97" s="7"/>
      <c r="S97" s="7"/>
      <c r="U97" s="7"/>
      <c r="V97"/>
      <c r="W97"/>
    </row>
    <row r="98" spans="1:23" x14ac:dyDescent="0.3">
      <c r="A98" s="17">
        <v>95</v>
      </c>
      <c r="B98" t="s">
        <v>183</v>
      </c>
      <c r="C98" t="s">
        <v>86</v>
      </c>
      <c r="D98" t="s">
        <v>85</v>
      </c>
      <c r="E98" t="s">
        <v>115</v>
      </c>
      <c r="F98" t="s">
        <v>92</v>
      </c>
      <c r="G98">
        <v>419</v>
      </c>
      <c r="H98" s="7">
        <v>88</v>
      </c>
      <c r="I98" s="1">
        <v>45467</v>
      </c>
      <c r="J98" s="7">
        <f t="shared" si="8"/>
        <v>36872</v>
      </c>
      <c r="K98" s="2" t="s">
        <v>220</v>
      </c>
      <c r="L98" t="str">
        <f t="shared" si="9"/>
        <v>Itraconazole-Antifungal</v>
      </c>
      <c r="M98" s="2" t="str">
        <f t="shared" si="10"/>
        <v>High</v>
      </c>
      <c r="N98" s="7"/>
      <c r="S98" s="7"/>
      <c r="U98" s="7"/>
      <c r="V98"/>
      <c r="W98"/>
    </row>
    <row r="99" spans="1:23" x14ac:dyDescent="0.3">
      <c r="A99" s="17">
        <v>96</v>
      </c>
      <c r="B99" t="s">
        <v>184</v>
      </c>
      <c r="C99" t="s">
        <v>63</v>
      </c>
      <c r="D99" t="s">
        <v>61</v>
      </c>
      <c r="E99" t="s">
        <v>91</v>
      </c>
      <c r="F99" t="s">
        <v>134</v>
      </c>
      <c r="G99">
        <v>138</v>
      </c>
      <c r="H99" s="7">
        <v>1.5</v>
      </c>
      <c r="I99" s="1">
        <v>45468</v>
      </c>
      <c r="J99" s="7">
        <f t="shared" si="8"/>
        <v>207</v>
      </c>
      <c r="K99" s="2" t="s">
        <v>219</v>
      </c>
      <c r="L99" t="str">
        <f t="shared" si="9"/>
        <v>Folic Acid-Vitamin</v>
      </c>
      <c r="M99" s="2" t="str">
        <f t="shared" si="10"/>
        <v>Low</v>
      </c>
      <c r="N99" s="7"/>
      <c r="S99" s="7"/>
      <c r="U99" s="7"/>
      <c r="V99"/>
      <c r="W99"/>
    </row>
    <row r="100" spans="1:23" x14ac:dyDescent="0.3">
      <c r="A100" s="17">
        <v>97</v>
      </c>
      <c r="B100" t="s">
        <v>185</v>
      </c>
      <c r="C100" t="s">
        <v>24</v>
      </c>
      <c r="D100" t="s">
        <v>17</v>
      </c>
      <c r="E100" t="s">
        <v>102</v>
      </c>
      <c r="F100" t="s">
        <v>95</v>
      </c>
      <c r="G100">
        <v>254</v>
      </c>
      <c r="H100" s="7">
        <v>19</v>
      </c>
      <c r="I100" s="1">
        <v>45469</v>
      </c>
      <c r="J100" s="7">
        <f t="shared" ref="J100:J113" si="11">H100*G100</f>
        <v>4826</v>
      </c>
      <c r="K100" s="2" t="s">
        <v>218</v>
      </c>
      <c r="L100" t="str">
        <f t="shared" ref="L100:L113" si="12">_xlfn.CONCAT(C100,"-",D100)</f>
        <v>Metronidazole-Antibiotic</v>
      </c>
      <c r="M100" s="2" t="str">
        <f t="shared" ref="M100:M113" si="13">IF(J100&gt;=10000, "High", IF(J100&gt;=5000,"Medium","Low"))</f>
        <v>Low</v>
      </c>
      <c r="N100" s="7"/>
      <c r="S100" s="7"/>
      <c r="U100" s="7"/>
      <c r="V100"/>
      <c r="W100"/>
    </row>
    <row r="101" spans="1:23" x14ac:dyDescent="0.3">
      <c r="A101" s="17">
        <v>98</v>
      </c>
      <c r="B101" t="s">
        <v>186</v>
      </c>
      <c r="C101" t="s">
        <v>55</v>
      </c>
      <c r="D101" t="s">
        <v>54</v>
      </c>
      <c r="E101" t="s">
        <v>99</v>
      </c>
      <c r="F101" t="s">
        <v>100</v>
      </c>
      <c r="G101">
        <v>385</v>
      </c>
      <c r="H101" s="7">
        <v>29</v>
      </c>
      <c r="I101" s="1">
        <v>45470</v>
      </c>
      <c r="J101" s="7">
        <f t="shared" si="11"/>
        <v>11165</v>
      </c>
      <c r="K101" s="2" t="s">
        <v>218</v>
      </c>
      <c r="L101" t="str">
        <f t="shared" si="12"/>
        <v>Montelukast-Respiratory</v>
      </c>
      <c r="M101" s="2" t="str">
        <f t="shared" si="13"/>
        <v>High</v>
      </c>
      <c r="N101" s="7"/>
      <c r="S101" s="7"/>
      <c r="U101" s="7"/>
      <c r="V101"/>
      <c r="W101"/>
    </row>
    <row r="102" spans="1:23" x14ac:dyDescent="0.3">
      <c r="A102" s="17">
        <v>99</v>
      </c>
      <c r="B102" t="s">
        <v>187</v>
      </c>
      <c r="C102" t="s">
        <v>76</v>
      </c>
      <c r="D102" t="s">
        <v>75</v>
      </c>
      <c r="E102" t="s">
        <v>131</v>
      </c>
      <c r="F102" t="s">
        <v>89</v>
      </c>
      <c r="G102">
        <v>197</v>
      </c>
      <c r="H102" s="7">
        <v>57</v>
      </c>
      <c r="I102" s="1">
        <v>45471</v>
      </c>
      <c r="J102" s="7">
        <f t="shared" si="11"/>
        <v>11229</v>
      </c>
      <c r="K102" s="2" t="s">
        <v>220</v>
      </c>
      <c r="L102" t="str">
        <f t="shared" si="12"/>
        <v>Escitalopram-Psychiatry</v>
      </c>
      <c r="M102" s="2" t="str">
        <f t="shared" si="13"/>
        <v>High</v>
      </c>
      <c r="N102" s="7"/>
      <c r="S102" s="7"/>
      <c r="U102" s="7"/>
      <c r="V102"/>
      <c r="W102"/>
    </row>
    <row r="103" spans="1:23" x14ac:dyDescent="0.3">
      <c r="A103" s="17">
        <v>100</v>
      </c>
      <c r="B103" t="s">
        <v>188</v>
      </c>
      <c r="C103" t="s">
        <v>15</v>
      </c>
      <c r="D103" t="s">
        <v>11</v>
      </c>
      <c r="E103" t="s">
        <v>148</v>
      </c>
      <c r="F103" t="s">
        <v>106</v>
      </c>
      <c r="G103">
        <v>328</v>
      </c>
      <c r="H103" s="7">
        <v>25</v>
      </c>
      <c r="I103" s="1">
        <v>45472</v>
      </c>
      <c r="J103" s="7">
        <f t="shared" si="11"/>
        <v>8200</v>
      </c>
      <c r="K103" s="2" t="s">
        <v>219</v>
      </c>
      <c r="L103" t="str">
        <f t="shared" si="12"/>
        <v>Naproxen-Analgesic</v>
      </c>
      <c r="M103" s="2" t="str">
        <f t="shared" si="13"/>
        <v>Medium</v>
      </c>
      <c r="N103" s="7"/>
      <c r="S103" s="7"/>
      <c r="U103" s="7"/>
      <c r="V103"/>
      <c r="W103"/>
    </row>
    <row r="104" spans="1:23" x14ac:dyDescent="0.3">
      <c r="A104" s="17">
        <v>101</v>
      </c>
      <c r="B104" t="s">
        <v>189</v>
      </c>
      <c r="C104" t="s">
        <v>81</v>
      </c>
      <c r="D104" t="s">
        <v>82</v>
      </c>
      <c r="E104" t="s">
        <v>115</v>
      </c>
      <c r="F104" t="s">
        <v>92</v>
      </c>
      <c r="G104">
        <v>461</v>
      </c>
      <c r="H104" s="7">
        <v>56</v>
      </c>
      <c r="I104" s="1">
        <v>45473</v>
      </c>
      <c r="J104" s="7">
        <f t="shared" si="11"/>
        <v>25816</v>
      </c>
      <c r="K104" s="2" t="s">
        <v>220</v>
      </c>
      <c r="L104" t="str">
        <f t="shared" si="12"/>
        <v>Acyclovir-Antiviral</v>
      </c>
      <c r="M104" s="2" t="str">
        <f t="shared" si="13"/>
        <v>High</v>
      </c>
      <c r="N104" s="7"/>
      <c r="S104" s="7"/>
      <c r="U104" s="7"/>
      <c r="V104"/>
      <c r="W104"/>
    </row>
    <row r="105" spans="1:23" x14ac:dyDescent="0.3">
      <c r="A105" s="17">
        <v>102</v>
      </c>
      <c r="B105" t="s">
        <v>190</v>
      </c>
      <c r="C105" t="s">
        <v>42</v>
      </c>
      <c r="D105" t="s">
        <v>34</v>
      </c>
      <c r="E105" t="s">
        <v>94</v>
      </c>
      <c r="F105" t="s">
        <v>103</v>
      </c>
      <c r="G105">
        <v>143</v>
      </c>
      <c r="H105" s="7">
        <v>14</v>
      </c>
      <c r="I105" s="1">
        <v>45474</v>
      </c>
      <c r="J105" s="7">
        <f t="shared" si="11"/>
        <v>2002</v>
      </c>
      <c r="K105" s="2" t="s">
        <v>218</v>
      </c>
      <c r="L105" t="str">
        <f t="shared" si="12"/>
        <v>Bisoprolol-Cardiac</v>
      </c>
      <c r="M105" s="2" t="str">
        <f t="shared" si="13"/>
        <v>Low</v>
      </c>
      <c r="N105" s="7"/>
      <c r="S105" s="7"/>
      <c r="U105" s="7"/>
      <c r="V105"/>
      <c r="W105"/>
    </row>
    <row r="106" spans="1:23" x14ac:dyDescent="0.3">
      <c r="A106" s="17">
        <v>103</v>
      </c>
      <c r="B106" t="s">
        <v>191</v>
      </c>
      <c r="C106" t="s">
        <v>64</v>
      </c>
      <c r="D106" t="s">
        <v>61</v>
      </c>
      <c r="E106" t="s">
        <v>159</v>
      </c>
      <c r="F106" t="s">
        <v>95</v>
      </c>
      <c r="G106">
        <v>276</v>
      </c>
      <c r="H106" s="7">
        <v>185</v>
      </c>
      <c r="I106" s="1">
        <v>45475</v>
      </c>
      <c r="J106" s="7">
        <f t="shared" si="11"/>
        <v>51060</v>
      </c>
      <c r="K106" s="2" t="s">
        <v>219</v>
      </c>
      <c r="L106" t="str">
        <f t="shared" si="12"/>
        <v>Iron Sucrose-Vitamin</v>
      </c>
      <c r="M106" s="2" t="str">
        <f t="shared" si="13"/>
        <v>High</v>
      </c>
      <c r="N106" s="7"/>
      <c r="S106" s="7"/>
      <c r="U106" s="7"/>
      <c r="V106"/>
      <c r="W106"/>
    </row>
    <row r="107" spans="1:23" x14ac:dyDescent="0.3">
      <c r="A107" s="17">
        <v>104</v>
      </c>
      <c r="B107" t="s">
        <v>192</v>
      </c>
      <c r="C107" t="s">
        <v>21</v>
      </c>
      <c r="D107" t="s">
        <v>17</v>
      </c>
      <c r="E107" t="s">
        <v>133</v>
      </c>
      <c r="F107" t="s">
        <v>97</v>
      </c>
      <c r="G107">
        <v>389</v>
      </c>
      <c r="H107" s="7">
        <v>29</v>
      </c>
      <c r="I107" s="1">
        <v>45476</v>
      </c>
      <c r="J107" s="7">
        <f t="shared" si="11"/>
        <v>11281</v>
      </c>
      <c r="K107" s="2" t="s">
        <v>218</v>
      </c>
      <c r="L107" t="str">
        <f t="shared" si="12"/>
        <v>Cefixime-Antibiotic</v>
      </c>
      <c r="M107" s="2" t="str">
        <f t="shared" si="13"/>
        <v>High</v>
      </c>
      <c r="N107" s="7"/>
      <c r="S107" s="7"/>
      <c r="U107" s="7"/>
      <c r="V107"/>
      <c r="W107"/>
    </row>
    <row r="108" spans="1:23" x14ac:dyDescent="0.3">
      <c r="A108" s="17">
        <v>105</v>
      </c>
      <c r="B108" t="s">
        <v>193</v>
      </c>
      <c r="C108" t="s">
        <v>25</v>
      </c>
      <c r="D108" t="s">
        <v>26</v>
      </c>
      <c r="E108" t="s">
        <v>88</v>
      </c>
      <c r="F108" t="s">
        <v>89</v>
      </c>
      <c r="G108">
        <v>116</v>
      </c>
      <c r="H108" s="7">
        <v>12</v>
      </c>
      <c r="I108" s="1">
        <v>45477</v>
      </c>
      <c r="J108" s="7">
        <f t="shared" si="11"/>
        <v>1392</v>
      </c>
      <c r="K108" s="2" t="s">
        <v>220</v>
      </c>
      <c r="L108" t="str">
        <f t="shared" si="12"/>
        <v>Metformin-Anti-Diabetic</v>
      </c>
      <c r="M108" s="2" t="str">
        <f t="shared" si="13"/>
        <v>Low</v>
      </c>
      <c r="N108" s="7"/>
      <c r="S108" s="7"/>
      <c r="U108" s="7"/>
      <c r="V108"/>
      <c r="W108"/>
    </row>
    <row r="109" spans="1:23" x14ac:dyDescent="0.3">
      <c r="A109" s="17">
        <v>106</v>
      </c>
      <c r="B109" t="s">
        <v>194</v>
      </c>
      <c r="C109" t="s">
        <v>53</v>
      </c>
      <c r="D109" t="s">
        <v>54</v>
      </c>
      <c r="E109" t="s">
        <v>99</v>
      </c>
      <c r="F109" t="s">
        <v>92</v>
      </c>
      <c r="G109">
        <v>271</v>
      </c>
      <c r="H109" s="7">
        <v>23</v>
      </c>
      <c r="I109" s="1">
        <v>45478</v>
      </c>
      <c r="J109" s="7">
        <f t="shared" si="11"/>
        <v>6233</v>
      </c>
      <c r="K109" s="2" t="s">
        <v>220</v>
      </c>
      <c r="L109" t="str">
        <f t="shared" si="12"/>
        <v>Salbutamol-Respiratory</v>
      </c>
      <c r="M109" s="2" t="str">
        <f t="shared" si="13"/>
        <v>Medium</v>
      </c>
      <c r="N109" s="7"/>
      <c r="S109" s="7"/>
      <c r="U109" s="7"/>
      <c r="V109"/>
      <c r="W109"/>
    </row>
    <row r="110" spans="1:23" x14ac:dyDescent="0.3">
      <c r="A110" s="17">
        <v>107</v>
      </c>
      <c r="B110" t="s">
        <v>195</v>
      </c>
      <c r="C110" t="s">
        <v>10</v>
      </c>
      <c r="D110" t="s">
        <v>11</v>
      </c>
      <c r="E110" t="s">
        <v>91</v>
      </c>
      <c r="F110" t="s">
        <v>100</v>
      </c>
      <c r="G110">
        <v>432</v>
      </c>
      <c r="H110" s="7">
        <v>10</v>
      </c>
      <c r="I110" s="1">
        <v>45479</v>
      </c>
      <c r="J110" s="7">
        <f t="shared" si="11"/>
        <v>4320</v>
      </c>
      <c r="K110" s="2" t="s">
        <v>219</v>
      </c>
      <c r="L110" t="str">
        <f t="shared" si="12"/>
        <v>Paracetamol-Analgesic</v>
      </c>
      <c r="M110" s="2" t="str">
        <f t="shared" si="13"/>
        <v>Low</v>
      </c>
      <c r="N110" s="7"/>
      <c r="S110" s="7"/>
      <c r="U110" s="7"/>
      <c r="V110"/>
      <c r="W110"/>
    </row>
    <row r="111" spans="1:23" x14ac:dyDescent="0.3">
      <c r="A111" s="17">
        <v>108</v>
      </c>
      <c r="B111" t="s">
        <v>196</v>
      </c>
      <c r="C111" t="s">
        <v>83</v>
      </c>
      <c r="D111" t="s">
        <v>82</v>
      </c>
      <c r="E111" t="s">
        <v>91</v>
      </c>
      <c r="F111" t="s">
        <v>95</v>
      </c>
      <c r="G111">
        <v>161</v>
      </c>
      <c r="H111" s="7">
        <v>125</v>
      </c>
      <c r="I111" s="1">
        <v>45480</v>
      </c>
      <c r="J111" s="7">
        <f t="shared" si="11"/>
        <v>20125</v>
      </c>
      <c r="K111" s="2" t="s">
        <v>218</v>
      </c>
      <c r="L111" t="str">
        <f t="shared" si="12"/>
        <v>Oseltamivir-Antiviral</v>
      </c>
      <c r="M111" s="2" t="str">
        <f t="shared" si="13"/>
        <v>High</v>
      </c>
      <c r="N111" s="7"/>
      <c r="S111" s="7"/>
      <c r="U111" s="7"/>
      <c r="V111"/>
      <c r="W111"/>
    </row>
    <row r="112" spans="1:23" x14ac:dyDescent="0.3">
      <c r="A112" s="17">
        <v>109</v>
      </c>
      <c r="B112" t="s">
        <v>197</v>
      </c>
      <c r="C112" t="s">
        <v>49</v>
      </c>
      <c r="D112" t="s">
        <v>50</v>
      </c>
      <c r="E112" t="s">
        <v>105</v>
      </c>
      <c r="F112" t="s">
        <v>106</v>
      </c>
      <c r="G112">
        <v>298</v>
      </c>
      <c r="H112" s="7">
        <v>5</v>
      </c>
      <c r="I112" s="1">
        <v>45481</v>
      </c>
      <c r="J112" s="7">
        <f t="shared" si="11"/>
        <v>1490</v>
      </c>
      <c r="K112" s="2" t="s">
        <v>219</v>
      </c>
      <c r="L112" t="str">
        <f t="shared" si="12"/>
        <v>Levocetirizine-Anti-Allergic</v>
      </c>
      <c r="M112" s="2" t="str">
        <f t="shared" si="13"/>
        <v>Low</v>
      </c>
      <c r="N112" s="7"/>
      <c r="S112" s="7"/>
      <c r="U112" s="7"/>
      <c r="V112"/>
      <c r="W112"/>
    </row>
    <row r="113" spans="1:23" x14ac:dyDescent="0.3">
      <c r="A113" s="17">
        <v>110</v>
      </c>
      <c r="B113" t="s">
        <v>198</v>
      </c>
      <c r="C113" t="s">
        <v>68</v>
      </c>
      <c r="D113" t="s">
        <v>67</v>
      </c>
      <c r="E113" t="s">
        <v>133</v>
      </c>
      <c r="F113" t="s">
        <v>92</v>
      </c>
      <c r="G113">
        <v>402</v>
      </c>
      <c r="H113" s="7">
        <v>23</v>
      </c>
      <c r="I113" s="1">
        <v>45482</v>
      </c>
      <c r="J113" s="7">
        <f t="shared" si="11"/>
        <v>9246</v>
      </c>
      <c r="K113" s="2" t="s">
        <v>220</v>
      </c>
      <c r="L113" t="str">
        <f t="shared" si="12"/>
        <v>Dexamethasone-Steroid</v>
      </c>
      <c r="M113" s="2" t="str">
        <f t="shared" si="13"/>
        <v>Medium</v>
      </c>
      <c r="N113" s="7"/>
      <c r="S113" s="7"/>
      <c r="U113" s="7"/>
      <c r="V113"/>
      <c r="W113"/>
    </row>
    <row r="114" spans="1:23" x14ac:dyDescent="0.3">
      <c r="H114" s="7"/>
      <c r="I114" s="1"/>
      <c r="K114" s="2"/>
      <c r="M114" s="2"/>
      <c r="N114" s="7"/>
      <c r="S114" s="7"/>
      <c r="U114" s="7"/>
      <c r="V114"/>
      <c r="W114"/>
    </row>
    <row r="115" spans="1:23" x14ac:dyDescent="0.3">
      <c r="I115" s="9"/>
      <c r="K115" s="2"/>
      <c r="M115" s="2"/>
      <c r="N115" s="7"/>
      <c r="S115" s="7"/>
      <c r="U115" s="7"/>
      <c r="V115"/>
      <c r="W115"/>
    </row>
    <row r="116" spans="1:23" x14ac:dyDescent="0.3">
      <c r="I116" s="1"/>
      <c r="K116" s="2"/>
      <c r="M116" s="2"/>
      <c r="N116" s="7"/>
      <c r="S116" s="7"/>
      <c r="U116" s="7"/>
      <c r="V116"/>
      <c r="W116"/>
    </row>
    <row r="117" spans="1:23" x14ac:dyDescent="0.3">
      <c r="B117" t="s">
        <v>222</v>
      </c>
      <c r="I117" s="1"/>
      <c r="M117" s="2"/>
      <c r="V117"/>
      <c r="W117"/>
    </row>
    <row r="119" spans="1:23" x14ac:dyDescent="0.3">
      <c r="A119"/>
    </row>
    <row r="120" spans="1:23" x14ac:dyDescent="0.3">
      <c r="A120" s="13" t="s">
        <v>214</v>
      </c>
      <c r="B120" t="s">
        <v>215</v>
      </c>
      <c r="D120" s="13" t="s">
        <v>214</v>
      </c>
      <c r="E120" t="s">
        <v>217</v>
      </c>
      <c r="F120" t="s">
        <v>215</v>
      </c>
      <c r="H120" s="13" t="s">
        <v>214</v>
      </c>
      <c r="I120" t="s">
        <v>215</v>
      </c>
      <c r="J120"/>
    </row>
    <row r="121" spans="1:23" x14ac:dyDescent="0.3">
      <c r="A121" s="14" t="s">
        <v>122</v>
      </c>
      <c r="B121" s="7">
        <v>6864</v>
      </c>
      <c r="D121" s="14" t="s">
        <v>122</v>
      </c>
      <c r="E121" s="15">
        <v>312</v>
      </c>
      <c r="F121" s="7">
        <v>6864</v>
      </c>
      <c r="H121" s="14" t="s">
        <v>220</v>
      </c>
      <c r="I121" s="7">
        <v>301174</v>
      </c>
      <c r="J121"/>
    </row>
    <row r="122" spans="1:23" x14ac:dyDescent="0.3">
      <c r="A122" s="14" t="s">
        <v>89</v>
      </c>
      <c r="B122" s="7">
        <v>158415</v>
      </c>
      <c r="D122" s="14" t="s">
        <v>89</v>
      </c>
      <c r="E122" s="15">
        <v>4993</v>
      </c>
      <c r="F122" s="7">
        <v>158415</v>
      </c>
      <c r="H122" s="14" t="s">
        <v>219</v>
      </c>
      <c r="I122" s="7">
        <v>331935</v>
      </c>
      <c r="J122"/>
    </row>
    <row r="123" spans="1:23" x14ac:dyDescent="0.3">
      <c r="A123" s="14" t="s">
        <v>113</v>
      </c>
      <c r="B123" s="7">
        <v>18190</v>
      </c>
      <c r="D123" s="14" t="s">
        <v>113</v>
      </c>
      <c r="E123" s="15">
        <v>542</v>
      </c>
      <c r="F123" s="7">
        <v>18190</v>
      </c>
      <c r="H123" s="14" t="s">
        <v>218</v>
      </c>
      <c r="I123" s="7">
        <v>538223</v>
      </c>
      <c r="J123"/>
    </row>
    <row r="124" spans="1:23" x14ac:dyDescent="0.3">
      <c r="A124" s="14" t="s">
        <v>126</v>
      </c>
      <c r="B124" s="7">
        <v>21123</v>
      </c>
      <c r="D124" s="14" t="s">
        <v>126</v>
      </c>
      <c r="E124" s="15">
        <v>880</v>
      </c>
      <c r="F124" s="7">
        <v>21123</v>
      </c>
      <c r="H124" s="14" t="s">
        <v>216</v>
      </c>
      <c r="I124" s="7">
        <v>1171332</v>
      </c>
      <c r="J124"/>
    </row>
    <row r="125" spans="1:23" x14ac:dyDescent="0.3">
      <c r="A125" s="14" t="s">
        <v>103</v>
      </c>
      <c r="B125" s="7">
        <v>114369</v>
      </c>
      <c r="D125" s="14" t="s">
        <v>103</v>
      </c>
      <c r="E125" s="15">
        <v>1823</v>
      </c>
      <c r="F125" s="7">
        <v>114369</v>
      </c>
      <c r="J125"/>
    </row>
    <row r="126" spans="1:23" x14ac:dyDescent="0.3">
      <c r="A126" s="14" t="s">
        <v>92</v>
      </c>
      <c r="B126" s="7">
        <v>367512</v>
      </c>
      <c r="D126" s="14" t="s">
        <v>92</v>
      </c>
      <c r="E126" s="15">
        <v>6761</v>
      </c>
      <c r="F126" s="7">
        <v>367512</v>
      </c>
      <c r="J126"/>
    </row>
    <row r="127" spans="1:23" x14ac:dyDescent="0.3">
      <c r="A127" s="14" t="s">
        <v>108</v>
      </c>
      <c r="B127" s="7">
        <v>4096</v>
      </c>
      <c r="D127" s="14" t="s">
        <v>108</v>
      </c>
      <c r="E127" s="15">
        <v>256</v>
      </c>
      <c r="F127" s="7">
        <v>4096</v>
      </c>
      <c r="J127"/>
    </row>
    <row r="128" spans="1:23" x14ac:dyDescent="0.3">
      <c r="A128" s="14" t="s">
        <v>110</v>
      </c>
      <c r="B128" s="7">
        <v>730</v>
      </c>
      <c r="D128" s="14" t="s">
        <v>110</v>
      </c>
      <c r="E128" s="15">
        <v>73</v>
      </c>
      <c r="F128" s="7">
        <v>730</v>
      </c>
      <c r="J128"/>
    </row>
    <row r="129" spans="1:10" x14ac:dyDescent="0.3">
      <c r="A129" s="14" t="s">
        <v>119</v>
      </c>
      <c r="B129" s="7">
        <v>28550</v>
      </c>
      <c r="D129" s="14" t="s">
        <v>119</v>
      </c>
      <c r="E129" s="15">
        <v>614</v>
      </c>
      <c r="F129" s="7">
        <v>28550</v>
      </c>
      <c r="J129"/>
    </row>
    <row r="130" spans="1:10" x14ac:dyDescent="0.3">
      <c r="A130" s="14" t="s">
        <v>106</v>
      </c>
      <c r="B130" s="7">
        <v>37077</v>
      </c>
      <c r="D130" s="14" t="s">
        <v>106</v>
      </c>
      <c r="E130" s="15">
        <v>3049</v>
      </c>
      <c r="F130" s="7">
        <v>37077</v>
      </c>
      <c r="J130"/>
    </row>
    <row r="131" spans="1:10" x14ac:dyDescent="0.3">
      <c r="A131" s="14" t="s">
        <v>128</v>
      </c>
      <c r="B131" s="7">
        <v>1862</v>
      </c>
      <c r="D131" s="14" t="s">
        <v>128</v>
      </c>
      <c r="E131" s="15">
        <v>98</v>
      </c>
      <c r="F131" s="7">
        <v>1862</v>
      </c>
      <c r="J131"/>
    </row>
    <row r="132" spans="1:10" x14ac:dyDescent="0.3">
      <c r="A132" s="14" t="s">
        <v>134</v>
      </c>
      <c r="B132" s="7">
        <v>6191</v>
      </c>
      <c r="D132" s="14" t="s">
        <v>134</v>
      </c>
      <c r="E132" s="15">
        <v>325</v>
      </c>
      <c r="F132" s="7">
        <v>6191</v>
      </c>
      <c r="J132"/>
    </row>
    <row r="133" spans="1:10" x14ac:dyDescent="0.3">
      <c r="A133" s="14" t="s">
        <v>137</v>
      </c>
      <c r="B133" s="7">
        <v>55000</v>
      </c>
      <c r="D133" s="14" t="s">
        <v>137</v>
      </c>
      <c r="E133" s="15">
        <v>827</v>
      </c>
      <c r="F133" s="7">
        <v>55000</v>
      </c>
      <c r="J133"/>
    </row>
    <row r="134" spans="1:10" x14ac:dyDescent="0.3">
      <c r="A134" s="14" t="s">
        <v>97</v>
      </c>
      <c r="B134" s="7">
        <v>34295</v>
      </c>
      <c r="D134" s="14" t="s">
        <v>97</v>
      </c>
      <c r="E134" s="15">
        <v>1804</v>
      </c>
      <c r="F134" s="7">
        <v>34295</v>
      </c>
      <c r="J134"/>
    </row>
    <row r="135" spans="1:10" x14ac:dyDescent="0.3">
      <c r="A135" s="14" t="s">
        <v>95</v>
      </c>
      <c r="B135" s="7">
        <v>252515</v>
      </c>
      <c r="D135" s="14" t="s">
        <v>95</v>
      </c>
      <c r="E135" s="15">
        <v>3881</v>
      </c>
      <c r="F135" s="7">
        <v>252515</v>
      </c>
      <c r="J135"/>
    </row>
    <row r="136" spans="1:10" x14ac:dyDescent="0.3">
      <c r="A136" s="14" t="s">
        <v>139</v>
      </c>
      <c r="B136" s="7">
        <v>9795</v>
      </c>
      <c r="D136" s="14" t="s">
        <v>139</v>
      </c>
      <c r="E136" s="15">
        <v>565</v>
      </c>
      <c r="F136" s="7">
        <v>9795</v>
      </c>
      <c r="J136"/>
    </row>
    <row r="137" spans="1:10" x14ac:dyDescent="0.3">
      <c r="A137" s="14" t="s">
        <v>100</v>
      </c>
      <c r="B137" s="7">
        <v>54748</v>
      </c>
      <c r="D137" s="14" t="s">
        <v>100</v>
      </c>
      <c r="E137" s="15">
        <v>3131</v>
      </c>
      <c r="F137" s="7">
        <v>54748</v>
      </c>
      <c r="J137"/>
    </row>
    <row r="138" spans="1:10" x14ac:dyDescent="0.3">
      <c r="A138" s="14" t="s">
        <v>216</v>
      </c>
      <c r="B138" s="7">
        <v>1171332</v>
      </c>
      <c r="D138" s="14" t="s">
        <v>216</v>
      </c>
      <c r="E138" s="15">
        <v>29934</v>
      </c>
      <c r="F138" s="7">
        <v>1171332</v>
      </c>
    </row>
    <row r="139" spans="1:10" x14ac:dyDescent="0.3">
      <c r="A139"/>
    </row>
    <row r="140" spans="1:10" x14ac:dyDescent="0.3">
      <c r="A140"/>
    </row>
    <row r="141" spans="1:10" x14ac:dyDescent="0.3">
      <c r="A141"/>
    </row>
    <row r="142" spans="1:10" x14ac:dyDescent="0.3">
      <c r="A142"/>
    </row>
    <row r="143" spans="1:10" x14ac:dyDescent="0.3">
      <c r="A143"/>
    </row>
    <row r="144" spans="1:10"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sheetData>
  <mergeCells count="1">
    <mergeCell ref="B1:J1"/>
  </mergeCells>
  <phoneticPr fontId="3" type="noConversion"/>
  <conditionalFormatting sqref="G4:G116">
    <cfRule type="colorScale" priority="9">
      <colorScale>
        <cfvo type="min"/>
        <cfvo type="max"/>
        <color rgb="FFFCFCFF"/>
        <color rgb="FF63BE7B"/>
      </colorScale>
    </cfRule>
  </conditionalFormatting>
  <conditionalFormatting sqref="J4:J116">
    <cfRule type="cellIs" dxfId="8" priority="3" operator="greaterThan">
      <formula>10000</formula>
    </cfRule>
    <cfRule type="dataBar" priority="4">
      <dataBar>
        <cfvo type="min"/>
        <cfvo type="max"/>
        <color rgb="FF63C384"/>
      </dataBar>
      <extLst>
        <ext xmlns:x14="http://schemas.microsoft.com/office/spreadsheetml/2009/9/main" uri="{B025F937-C7B1-47D3-B67F-A62EFF666E3E}">
          <x14:id>{B463DD1A-15C6-4677-A624-BCBABAB4592A}</x14:id>
        </ext>
      </extLst>
    </cfRule>
  </conditionalFormatting>
  <pageMargins left="0.7" right="0.7" top="0.75" bottom="0.75" header="0.3" footer="0.3"/>
  <drawing r:id="rId4"/>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463DD1A-15C6-4677-A624-BCBABAB4592A}">
            <x14:dataBar minLength="0" maxLength="100" gradient="0">
              <x14:cfvo type="autoMin"/>
              <x14:cfvo type="autoMax"/>
              <x14:negativeFillColor rgb="FFFF0000"/>
              <x14:axisColor rgb="FF000000"/>
            </x14:dataBar>
          </x14:cfRule>
          <xm:sqref>J4:J116</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BF5B3-AA2D-41D3-B6CC-23A907C8A4C0}">
  <dimension ref="B3:C70"/>
  <sheetViews>
    <sheetView tabSelected="1" workbookViewId="0">
      <selection activeCell="P56" sqref="P56"/>
    </sheetView>
  </sheetViews>
  <sheetFormatPr defaultRowHeight="14.4" x14ac:dyDescent="0.3"/>
  <cols>
    <col min="1" max="1" width="15.77734375" bestFit="1" customWidth="1"/>
    <col min="2" max="2" width="12.5546875" bestFit="1" customWidth="1"/>
    <col min="3" max="3" width="19.33203125" bestFit="1" customWidth="1"/>
    <col min="4" max="4" width="15.77734375" bestFit="1" customWidth="1"/>
    <col min="5" max="5" width="16" bestFit="1" customWidth="1"/>
  </cols>
  <sheetData>
    <row r="3" spans="2:3" x14ac:dyDescent="0.3">
      <c r="B3" s="13" t="s">
        <v>214</v>
      </c>
      <c r="C3" t="s">
        <v>217</v>
      </c>
    </row>
    <row r="4" spans="2:3" x14ac:dyDescent="0.3">
      <c r="B4" s="14" t="s">
        <v>11</v>
      </c>
      <c r="C4" s="15">
        <v>2377</v>
      </c>
    </row>
    <row r="5" spans="2:3" x14ac:dyDescent="0.3">
      <c r="B5" s="14" t="s">
        <v>50</v>
      </c>
      <c r="C5" s="15">
        <v>1808</v>
      </c>
    </row>
    <row r="6" spans="2:3" x14ac:dyDescent="0.3">
      <c r="B6" s="14" t="s">
        <v>17</v>
      </c>
      <c r="C6" s="15">
        <v>3447</v>
      </c>
    </row>
    <row r="7" spans="2:3" x14ac:dyDescent="0.3">
      <c r="B7" s="14" t="s">
        <v>26</v>
      </c>
      <c r="C7" s="15">
        <v>3092</v>
      </c>
    </row>
    <row r="8" spans="2:3" x14ac:dyDescent="0.3">
      <c r="B8" s="14" t="s">
        <v>58</v>
      </c>
      <c r="C8" s="15">
        <v>364</v>
      </c>
    </row>
    <row r="9" spans="2:3" x14ac:dyDescent="0.3">
      <c r="B9" s="14" t="s">
        <v>85</v>
      </c>
      <c r="C9" s="15">
        <v>1308</v>
      </c>
    </row>
    <row r="10" spans="2:3" x14ac:dyDescent="0.3">
      <c r="B10" s="14" t="s">
        <v>82</v>
      </c>
      <c r="C10" s="15">
        <v>1603</v>
      </c>
    </row>
    <row r="11" spans="2:3" x14ac:dyDescent="0.3">
      <c r="B11" s="14" t="s">
        <v>34</v>
      </c>
      <c r="C11" s="15">
        <v>3143</v>
      </c>
    </row>
    <row r="12" spans="2:3" x14ac:dyDescent="0.3">
      <c r="B12" s="14" t="s">
        <v>44</v>
      </c>
      <c r="C12" s="15">
        <v>1675</v>
      </c>
    </row>
    <row r="13" spans="2:3" x14ac:dyDescent="0.3">
      <c r="B13" s="14" t="s">
        <v>71</v>
      </c>
      <c r="C13" s="15">
        <v>1566</v>
      </c>
    </row>
    <row r="14" spans="2:3" x14ac:dyDescent="0.3">
      <c r="B14" s="14" t="s">
        <v>79</v>
      </c>
      <c r="C14" s="15">
        <v>1652</v>
      </c>
    </row>
    <row r="15" spans="2:3" x14ac:dyDescent="0.3">
      <c r="B15" s="14" t="s">
        <v>75</v>
      </c>
      <c r="C15" s="15">
        <v>1465</v>
      </c>
    </row>
    <row r="16" spans="2:3" x14ac:dyDescent="0.3">
      <c r="B16" s="14" t="s">
        <v>54</v>
      </c>
      <c r="C16" s="15">
        <v>3013</v>
      </c>
    </row>
    <row r="17" spans="2:3" x14ac:dyDescent="0.3">
      <c r="B17" s="14" t="s">
        <v>67</v>
      </c>
      <c r="C17" s="15">
        <v>1156</v>
      </c>
    </row>
    <row r="18" spans="2:3" x14ac:dyDescent="0.3">
      <c r="B18" s="14" t="s">
        <v>61</v>
      </c>
      <c r="C18" s="15">
        <v>2265</v>
      </c>
    </row>
    <row r="19" spans="2:3" x14ac:dyDescent="0.3">
      <c r="B19" s="14" t="s">
        <v>216</v>
      </c>
      <c r="C19" s="15">
        <v>29934</v>
      </c>
    </row>
    <row r="24" spans="2:3" x14ac:dyDescent="0.3">
      <c r="B24" s="13" t="s">
        <v>214</v>
      </c>
      <c r="C24" t="s">
        <v>215</v>
      </c>
    </row>
    <row r="25" spans="2:3" x14ac:dyDescent="0.3">
      <c r="B25" s="14" t="s">
        <v>11</v>
      </c>
      <c r="C25" s="7">
        <v>36473</v>
      </c>
    </row>
    <row r="26" spans="2:3" x14ac:dyDescent="0.3">
      <c r="B26" s="14" t="s">
        <v>50</v>
      </c>
      <c r="C26" s="7">
        <v>12748</v>
      </c>
    </row>
    <row r="27" spans="2:3" x14ac:dyDescent="0.3">
      <c r="B27" s="14" t="s">
        <v>17</v>
      </c>
      <c r="C27" s="7">
        <v>133144</v>
      </c>
    </row>
    <row r="28" spans="2:3" x14ac:dyDescent="0.3">
      <c r="B28" s="14" t="s">
        <v>26</v>
      </c>
      <c r="C28" s="7">
        <v>142098</v>
      </c>
    </row>
    <row r="29" spans="2:3" x14ac:dyDescent="0.3">
      <c r="B29" s="14" t="s">
        <v>58</v>
      </c>
      <c r="C29" s="7">
        <v>4004</v>
      </c>
    </row>
    <row r="30" spans="2:3" x14ac:dyDescent="0.3">
      <c r="B30" s="14" t="s">
        <v>85</v>
      </c>
      <c r="C30" s="7">
        <v>85786</v>
      </c>
    </row>
    <row r="31" spans="2:3" x14ac:dyDescent="0.3">
      <c r="B31" s="14" t="s">
        <v>82</v>
      </c>
      <c r="C31" s="7">
        <v>152691</v>
      </c>
    </row>
    <row r="32" spans="2:3" x14ac:dyDescent="0.3">
      <c r="B32" s="14" t="s">
        <v>34</v>
      </c>
      <c r="C32" s="7">
        <v>52002</v>
      </c>
    </row>
    <row r="33" spans="2:3" x14ac:dyDescent="0.3">
      <c r="B33" s="14" t="s">
        <v>44</v>
      </c>
      <c r="C33" s="7">
        <v>22610</v>
      </c>
    </row>
    <row r="34" spans="2:3" x14ac:dyDescent="0.3">
      <c r="B34" s="14" t="s">
        <v>71</v>
      </c>
      <c r="C34" s="7">
        <v>66904</v>
      </c>
    </row>
    <row r="35" spans="2:3" x14ac:dyDescent="0.3">
      <c r="B35" s="14" t="s">
        <v>79</v>
      </c>
      <c r="C35" s="7">
        <v>112544</v>
      </c>
    </row>
    <row r="36" spans="2:3" x14ac:dyDescent="0.3">
      <c r="B36" s="14" t="s">
        <v>75</v>
      </c>
      <c r="C36" s="7">
        <v>76771</v>
      </c>
    </row>
    <row r="37" spans="2:3" x14ac:dyDescent="0.3">
      <c r="B37" s="14" t="s">
        <v>54</v>
      </c>
      <c r="C37" s="7">
        <v>135521</v>
      </c>
    </row>
    <row r="38" spans="2:3" x14ac:dyDescent="0.3">
      <c r="B38" s="14" t="s">
        <v>67</v>
      </c>
      <c r="C38" s="7">
        <v>25742</v>
      </c>
    </row>
    <row r="39" spans="2:3" x14ac:dyDescent="0.3">
      <c r="B39" s="14" t="s">
        <v>61</v>
      </c>
      <c r="C39" s="7">
        <v>112294</v>
      </c>
    </row>
    <row r="40" spans="2:3" x14ac:dyDescent="0.3">
      <c r="B40" s="14" t="s">
        <v>216</v>
      </c>
      <c r="C40" s="7">
        <v>1171332</v>
      </c>
    </row>
    <row r="44" spans="2:3" x14ac:dyDescent="0.3">
      <c r="B44" s="13" t="s">
        <v>214</v>
      </c>
      <c r="C44" t="s">
        <v>215</v>
      </c>
    </row>
    <row r="45" spans="2:3" x14ac:dyDescent="0.3">
      <c r="B45" s="14" t="s">
        <v>122</v>
      </c>
      <c r="C45" s="7">
        <v>6864</v>
      </c>
    </row>
    <row r="46" spans="2:3" x14ac:dyDescent="0.3">
      <c r="B46" s="14" t="s">
        <v>89</v>
      </c>
      <c r="C46" s="7">
        <v>158415</v>
      </c>
    </row>
    <row r="47" spans="2:3" x14ac:dyDescent="0.3">
      <c r="B47" s="14" t="s">
        <v>113</v>
      </c>
      <c r="C47" s="7">
        <v>18190</v>
      </c>
    </row>
    <row r="48" spans="2:3" x14ac:dyDescent="0.3">
      <c r="B48" s="14" t="s">
        <v>126</v>
      </c>
      <c r="C48" s="7">
        <v>21123</v>
      </c>
    </row>
    <row r="49" spans="2:3" x14ac:dyDescent="0.3">
      <c r="B49" s="14" t="s">
        <v>103</v>
      </c>
      <c r="C49" s="7">
        <v>114369</v>
      </c>
    </row>
    <row r="50" spans="2:3" x14ac:dyDescent="0.3">
      <c r="B50" s="14" t="s">
        <v>92</v>
      </c>
      <c r="C50" s="7">
        <v>367512</v>
      </c>
    </row>
    <row r="51" spans="2:3" x14ac:dyDescent="0.3">
      <c r="B51" s="14" t="s">
        <v>108</v>
      </c>
      <c r="C51" s="7">
        <v>4096</v>
      </c>
    </row>
    <row r="52" spans="2:3" x14ac:dyDescent="0.3">
      <c r="B52" s="14" t="s">
        <v>110</v>
      </c>
      <c r="C52" s="7">
        <v>730</v>
      </c>
    </row>
    <row r="53" spans="2:3" x14ac:dyDescent="0.3">
      <c r="B53" s="14" t="s">
        <v>119</v>
      </c>
      <c r="C53" s="7">
        <v>28550</v>
      </c>
    </row>
    <row r="54" spans="2:3" x14ac:dyDescent="0.3">
      <c r="B54" s="14" t="s">
        <v>106</v>
      </c>
      <c r="C54" s="7">
        <v>37077</v>
      </c>
    </row>
    <row r="55" spans="2:3" x14ac:dyDescent="0.3">
      <c r="B55" s="14" t="s">
        <v>128</v>
      </c>
      <c r="C55" s="7">
        <v>1862</v>
      </c>
    </row>
    <row r="56" spans="2:3" x14ac:dyDescent="0.3">
      <c r="B56" s="14" t="s">
        <v>134</v>
      </c>
      <c r="C56" s="7">
        <v>6191</v>
      </c>
    </row>
    <row r="57" spans="2:3" x14ac:dyDescent="0.3">
      <c r="B57" s="14" t="s">
        <v>137</v>
      </c>
      <c r="C57" s="7">
        <v>55000</v>
      </c>
    </row>
    <row r="58" spans="2:3" x14ac:dyDescent="0.3">
      <c r="B58" s="14" t="s">
        <v>97</v>
      </c>
      <c r="C58" s="7">
        <v>34295</v>
      </c>
    </row>
    <row r="59" spans="2:3" x14ac:dyDescent="0.3">
      <c r="B59" s="14" t="s">
        <v>95</v>
      </c>
      <c r="C59" s="7">
        <v>252515</v>
      </c>
    </row>
    <row r="60" spans="2:3" x14ac:dyDescent="0.3">
      <c r="B60" s="14" t="s">
        <v>139</v>
      </c>
      <c r="C60" s="7">
        <v>9795</v>
      </c>
    </row>
    <row r="61" spans="2:3" x14ac:dyDescent="0.3">
      <c r="B61" s="14" t="s">
        <v>100</v>
      </c>
      <c r="C61" s="7">
        <v>54748</v>
      </c>
    </row>
    <row r="62" spans="2:3" x14ac:dyDescent="0.3">
      <c r="B62" s="14" t="s">
        <v>216</v>
      </c>
      <c r="C62" s="7">
        <v>1171332</v>
      </c>
    </row>
    <row r="66" spans="2:3" x14ac:dyDescent="0.3">
      <c r="B66" s="13" t="s">
        <v>214</v>
      </c>
      <c r="C66" t="s">
        <v>215</v>
      </c>
    </row>
    <row r="67" spans="2:3" x14ac:dyDescent="0.3">
      <c r="B67" s="14" t="s">
        <v>220</v>
      </c>
      <c r="C67" s="7">
        <v>301174</v>
      </c>
    </row>
    <row r="68" spans="2:3" x14ac:dyDescent="0.3">
      <c r="B68" s="14" t="s">
        <v>219</v>
      </c>
      <c r="C68" s="7">
        <v>331935</v>
      </c>
    </row>
    <row r="69" spans="2:3" x14ac:dyDescent="0.3">
      <c r="B69" s="14" t="s">
        <v>218</v>
      </c>
      <c r="C69" s="7">
        <v>538223</v>
      </c>
    </row>
    <row r="70" spans="2:3" x14ac:dyDescent="0.3">
      <c r="B70" s="14" t="s">
        <v>216</v>
      </c>
      <c r="C70" s="7">
        <v>1171332</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singh</dc:creator>
  <cp:lastModifiedBy>priyanka singh</cp:lastModifiedBy>
  <dcterms:created xsi:type="dcterms:W3CDTF">2026-01-14T08:05:47Z</dcterms:created>
  <dcterms:modified xsi:type="dcterms:W3CDTF">2026-01-14T15:56:26Z</dcterms:modified>
</cp:coreProperties>
</file>